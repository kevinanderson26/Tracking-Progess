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worksheets/sheet4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5.xml" ContentType="application/vnd.openxmlformats-officedocument.spreadsheetml.worksheet+xml"/>
  <Override PartName="/xl/chartsheets/sheet7.xml" ContentType="application/vnd.openxmlformats-officedocument.spreadsheetml.chartsheet+xml"/>
  <Override PartName="/xl/worksheets/sheet6.xml" ContentType="application/vnd.openxmlformats-officedocument.spreadsheetml.worksheet+xml"/>
  <Override PartName="/xl/chartsheets/sheet8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705" yWindow="5910" windowWidth="9510" windowHeight="5940" firstSheet="6" activeTab="6"/>
  </bookViews>
  <sheets>
    <sheet name="Chart -- PA Temp" sheetId="4" r:id="rId1"/>
    <sheet name="Data -- PA Temp" sheetId="1" r:id="rId2"/>
    <sheet name="Chart -- NJ Temp" sheetId="5" r:id="rId3"/>
    <sheet name="Data -- NJ Temp" sheetId="2" r:id="rId4"/>
    <sheet name="Chart -- PA and NJ Temp" sheetId="6" r:id="rId5"/>
    <sheet name="Data -- NJ-PA Average Temp" sheetId="8" r:id="rId6"/>
    <sheet name="Chart -- PA and NJ Combo Temp" sheetId="7" r:id="rId7"/>
    <sheet name="Data - PA and NJ Combo Precip." sheetId="21" r:id="rId8"/>
    <sheet name="Chart -- PA and NJ Combo Precip" sheetId="22" r:id="rId9"/>
    <sheet name="Chart -- Intense Storms" sheetId="11" r:id="rId10"/>
    <sheet name="Data - Perc in Intense Storms" sheetId="10" r:id="rId11"/>
    <sheet name="Chart -- global temp" sheetId="14" r:id="rId12"/>
    <sheet name="Global Temp" sheetId="13" r:id="rId13"/>
    <sheet name="Chart -- global temp (2)" sheetId="16" r:id="rId14"/>
    <sheet name="GlobalAnnualTemperatureAnomalie" sheetId="15" r:id="rId15"/>
    <sheet name="graph" sheetId="20" r:id="rId16"/>
  </sheets>
  <functionGroups builtInGroupCount="17"/>
  <calcPr calcId="145621"/>
</workbook>
</file>

<file path=xl/calcChain.xml><?xml version="1.0" encoding="utf-8"?>
<calcChain xmlns="http://schemas.openxmlformats.org/spreadsheetml/2006/main">
  <c r="N9" i="21" l="1"/>
  <c r="E2" i="10"/>
  <c r="G8" i="8"/>
  <c r="F6" i="13" l="1"/>
  <c r="K132" i="21"/>
  <c r="K131" i="21"/>
  <c r="K130" i="21"/>
  <c r="K129" i="21"/>
  <c r="K128" i="21"/>
  <c r="K127" i="21"/>
  <c r="K126" i="21"/>
  <c r="K125" i="21"/>
  <c r="K124" i="21"/>
  <c r="K123" i="21"/>
  <c r="K122" i="21"/>
  <c r="K121" i="21"/>
  <c r="K120" i="21"/>
  <c r="K119" i="21"/>
  <c r="K118" i="21"/>
  <c r="K117" i="21"/>
  <c r="K116" i="21"/>
  <c r="K115" i="21"/>
  <c r="K114" i="21"/>
  <c r="K113" i="21"/>
  <c r="K112" i="21"/>
  <c r="K111" i="21"/>
  <c r="K110" i="21"/>
  <c r="K109" i="21"/>
  <c r="K108" i="21"/>
  <c r="K107" i="21"/>
  <c r="K106" i="21"/>
  <c r="K105" i="21"/>
  <c r="K104" i="21"/>
  <c r="K103" i="21"/>
  <c r="K102" i="21"/>
  <c r="K101" i="21"/>
  <c r="K100" i="21"/>
  <c r="K99" i="21"/>
  <c r="K98" i="21"/>
  <c r="K97" i="21"/>
  <c r="K96" i="21"/>
  <c r="K95" i="21"/>
  <c r="K94" i="21"/>
  <c r="K93" i="21"/>
  <c r="K92" i="21"/>
  <c r="K91" i="21"/>
  <c r="K90" i="21"/>
  <c r="K89" i="21"/>
  <c r="K88" i="21"/>
  <c r="K87" i="21"/>
  <c r="K86" i="21"/>
  <c r="K85" i="21"/>
  <c r="K84" i="21"/>
  <c r="K83" i="21"/>
  <c r="K82" i="21"/>
  <c r="K81" i="21"/>
  <c r="K80" i="21"/>
  <c r="K79" i="21"/>
  <c r="K78" i="21"/>
  <c r="K77" i="21"/>
  <c r="K76" i="21"/>
  <c r="K75" i="21"/>
  <c r="K74" i="21"/>
  <c r="K73" i="21"/>
  <c r="K72" i="21"/>
  <c r="K71" i="21"/>
  <c r="K70" i="21"/>
  <c r="K69" i="21"/>
  <c r="K68" i="21"/>
  <c r="K67" i="21"/>
  <c r="K66" i="21"/>
  <c r="K65" i="21"/>
  <c r="K64" i="21"/>
  <c r="K63" i="21"/>
  <c r="K62" i="21"/>
  <c r="K61" i="21"/>
  <c r="K60" i="21"/>
  <c r="K59" i="21"/>
  <c r="K58" i="21"/>
  <c r="K57" i="21"/>
  <c r="K56" i="21"/>
  <c r="K55" i="21"/>
  <c r="K54" i="21"/>
  <c r="K53" i="21"/>
  <c r="K52" i="21"/>
  <c r="K51" i="21"/>
  <c r="K50" i="21"/>
  <c r="K49" i="21"/>
  <c r="K48" i="21"/>
  <c r="K47" i="21"/>
  <c r="K46" i="21"/>
  <c r="K45" i="21"/>
  <c r="K44" i="21"/>
  <c r="K43" i="21"/>
  <c r="K42" i="21"/>
  <c r="K41" i="21"/>
  <c r="K40" i="21"/>
  <c r="K39" i="21"/>
  <c r="K38" i="21"/>
  <c r="K37" i="21"/>
  <c r="K36" i="21"/>
  <c r="K35" i="21"/>
  <c r="K34" i="21"/>
  <c r="K33" i="21"/>
  <c r="K32" i="21"/>
  <c r="K31" i="21"/>
  <c r="K30" i="21"/>
  <c r="K29" i="21"/>
  <c r="K28" i="21"/>
  <c r="K27" i="21"/>
  <c r="K26" i="21"/>
  <c r="K25" i="21"/>
  <c r="K24" i="21"/>
  <c r="K23" i="21"/>
  <c r="K22" i="21"/>
  <c r="K21" i="21"/>
  <c r="K20" i="21"/>
  <c r="K19" i="21"/>
  <c r="K18" i="21"/>
  <c r="K17" i="21"/>
  <c r="K16" i="21"/>
  <c r="K15" i="21"/>
  <c r="K14" i="21"/>
  <c r="K13" i="21"/>
  <c r="K12" i="21"/>
  <c r="K11" i="21"/>
  <c r="K10" i="21"/>
  <c r="M10" i="21" a="1"/>
  <c r="M129" i="21" l="1"/>
  <c r="M125" i="21"/>
  <c r="M121" i="21"/>
  <c r="M117" i="21"/>
  <c r="M113" i="21"/>
  <c r="M109" i="21"/>
  <c r="M105" i="21"/>
  <c r="M101" i="21"/>
  <c r="M97" i="21"/>
  <c r="M93" i="21"/>
  <c r="M89" i="21"/>
  <c r="M85" i="21"/>
  <c r="M81" i="21"/>
  <c r="M77" i="21"/>
  <c r="M73" i="21"/>
  <c r="M69" i="21"/>
  <c r="M65" i="21"/>
  <c r="M61" i="21"/>
  <c r="M57" i="21"/>
  <c r="M53" i="21"/>
  <c r="M49" i="21"/>
  <c r="M45" i="21"/>
  <c r="M41" i="21"/>
  <c r="M131" i="21"/>
  <c r="M127" i="21"/>
  <c r="M123" i="21"/>
  <c r="M119" i="21"/>
  <c r="M115" i="21"/>
  <c r="M111" i="21"/>
  <c r="M107" i="21"/>
  <c r="M103" i="21"/>
  <c r="M99" i="21"/>
  <c r="M95" i="21"/>
  <c r="M91" i="21"/>
  <c r="M87" i="21"/>
  <c r="M83" i="21"/>
  <c r="M79" i="21"/>
  <c r="M75" i="21"/>
  <c r="M71" i="21"/>
  <c r="M67" i="21"/>
  <c r="M63" i="21"/>
  <c r="M59" i="21"/>
  <c r="M55" i="21"/>
  <c r="M51" i="21"/>
  <c r="M128" i="21"/>
  <c r="M62" i="21"/>
  <c r="M33" i="21"/>
  <c r="M21" i="21"/>
  <c r="M132" i="21"/>
  <c r="M124" i="21"/>
  <c r="M116" i="21"/>
  <c r="M108" i="21"/>
  <c r="M100" i="21"/>
  <c r="M92" i="21"/>
  <c r="M84" i="21"/>
  <c r="M76" i="21"/>
  <c r="M68" i="21"/>
  <c r="M60" i="21"/>
  <c r="M52" i="21"/>
  <c r="M46" i="21"/>
  <c r="M40" i="21"/>
  <c r="M36" i="21"/>
  <c r="M32" i="21"/>
  <c r="M28" i="21"/>
  <c r="M24" i="21"/>
  <c r="M20" i="21"/>
  <c r="M16" i="21"/>
  <c r="M12" i="21"/>
  <c r="M64" i="21"/>
  <c r="M48" i="21"/>
  <c r="M34" i="21"/>
  <c r="M26" i="21"/>
  <c r="M18" i="21"/>
  <c r="M126" i="21"/>
  <c r="M118" i="21"/>
  <c r="M102" i="21"/>
  <c r="M94" i="21"/>
  <c r="M78" i="21"/>
  <c r="M54" i="21"/>
  <c r="M42" i="21"/>
  <c r="M29" i="21"/>
  <c r="M17" i="21"/>
  <c r="M130" i="21"/>
  <c r="M122" i="21"/>
  <c r="M114" i="21"/>
  <c r="M106" i="21"/>
  <c r="M98" i="21"/>
  <c r="M90" i="21"/>
  <c r="M82" i="21"/>
  <c r="M74" i="21"/>
  <c r="M66" i="21"/>
  <c r="M58" i="21"/>
  <c r="M50" i="21"/>
  <c r="M44" i="21"/>
  <c r="M39" i="21"/>
  <c r="M35" i="21"/>
  <c r="M31" i="21"/>
  <c r="M27" i="21"/>
  <c r="M23" i="21"/>
  <c r="M19" i="21"/>
  <c r="M15" i="21"/>
  <c r="M11" i="21"/>
  <c r="M120" i="21"/>
  <c r="M112" i="21"/>
  <c r="M104" i="21"/>
  <c r="M96" i="21"/>
  <c r="M88" i="21"/>
  <c r="M80" i="21"/>
  <c r="M72" i="21"/>
  <c r="M56" i="21"/>
  <c r="M43" i="21"/>
  <c r="M38" i="21"/>
  <c r="M30" i="21"/>
  <c r="M22" i="21"/>
  <c r="M14" i="21"/>
  <c r="M10" i="21"/>
  <c r="M110" i="21"/>
  <c r="M86" i="21"/>
  <c r="M70" i="21"/>
  <c r="M47" i="21"/>
  <c r="M37" i="21"/>
  <c r="M25" i="21"/>
  <c r="M13" i="21"/>
  <c r="N132" i="21"/>
  <c r="N130" i="21"/>
  <c r="N128" i="21"/>
  <c r="N126" i="21"/>
  <c r="N124" i="21"/>
  <c r="N122" i="21"/>
  <c r="N120" i="21"/>
  <c r="N118" i="21"/>
  <c r="N116" i="21"/>
  <c r="N114" i="21"/>
  <c r="N112" i="21"/>
  <c r="N110" i="21"/>
  <c r="N108" i="21"/>
  <c r="N106" i="21"/>
  <c r="N104" i="21"/>
  <c r="N102" i="21"/>
  <c r="N100" i="21"/>
  <c r="N98" i="21"/>
  <c r="N96" i="21"/>
  <c r="N94" i="21"/>
  <c r="N92" i="21"/>
  <c r="N90" i="21"/>
  <c r="N88" i="21"/>
  <c r="N86" i="21"/>
  <c r="N84" i="21"/>
  <c r="N82" i="21"/>
  <c r="N80" i="21"/>
  <c r="N78" i="21"/>
  <c r="N76" i="21"/>
  <c r="N74" i="21"/>
  <c r="N72" i="21"/>
  <c r="N70" i="21"/>
  <c r="N68" i="21"/>
  <c r="N66" i="21"/>
  <c r="N64" i="21"/>
  <c r="N62" i="21"/>
  <c r="N60" i="21"/>
  <c r="N58" i="21"/>
  <c r="N56" i="21"/>
  <c r="N54" i="21"/>
  <c r="N52" i="21"/>
  <c r="N50" i="21"/>
  <c r="N48" i="21"/>
  <c r="N46" i="21"/>
  <c r="N44" i="21"/>
  <c r="N42" i="21"/>
  <c r="N40" i="21"/>
  <c r="N38" i="21"/>
  <c r="N36" i="21"/>
  <c r="N34" i="21"/>
  <c r="N32" i="21"/>
  <c r="N30" i="21"/>
  <c r="N28" i="21"/>
  <c r="N26" i="21"/>
  <c r="N24" i="21"/>
  <c r="N22" i="21"/>
  <c r="N20" i="21"/>
  <c r="N18" i="21"/>
  <c r="N16" i="21"/>
  <c r="N14" i="21"/>
  <c r="N12" i="21"/>
  <c r="N10" i="21"/>
  <c r="N131" i="21"/>
  <c r="N129" i="21"/>
  <c r="N127" i="21"/>
  <c r="N125" i="21"/>
  <c r="N123" i="21"/>
  <c r="N121" i="21"/>
  <c r="N119" i="21"/>
  <c r="N117" i="21"/>
  <c r="N115" i="21"/>
  <c r="N113" i="21"/>
  <c r="N111" i="21"/>
  <c r="N109" i="21"/>
  <c r="N107" i="21"/>
  <c r="N105" i="21"/>
  <c r="N103" i="21"/>
  <c r="N101" i="21"/>
  <c r="N99" i="21"/>
  <c r="N97" i="21"/>
  <c r="N95" i="21"/>
  <c r="N93" i="21"/>
  <c r="N91" i="21"/>
  <c r="N89" i="21"/>
  <c r="N87" i="21"/>
  <c r="N85" i="21"/>
  <c r="N83" i="21"/>
  <c r="N81" i="21"/>
  <c r="N79" i="21"/>
  <c r="N77" i="21"/>
  <c r="N75" i="21"/>
  <c r="N73" i="21"/>
  <c r="N71" i="21"/>
  <c r="N69" i="21"/>
  <c r="N67" i="21"/>
  <c r="N65" i="21"/>
  <c r="N63" i="21"/>
  <c r="N61" i="21"/>
  <c r="N59" i="21"/>
  <c r="N57" i="21"/>
  <c r="N55" i="21"/>
  <c r="N53" i="21"/>
  <c r="N51" i="21"/>
  <c r="N49" i="21"/>
  <c r="N47" i="21"/>
  <c r="N45" i="21"/>
  <c r="N43" i="21"/>
  <c r="N41" i="21"/>
  <c r="N39" i="21"/>
  <c r="N37" i="21"/>
  <c r="N35" i="21"/>
  <c r="N33" i="21"/>
  <c r="N31" i="21"/>
  <c r="N29" i="21"/>
  <c r="N27" i="21"/>
  <c r="N25" i="21"/>
  <c r="N23" i="21"/>
  <c r="N21" i="21"/>
  <c r="N19" i="21"/>
  <c r="N17" i="21"/>
  <c r="N15" i="21"/>
  <c r="N13" i="21"/>
  <c r="N11" i="21"/>
  <c r="S8" i="13" l="1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108" i="13"/>
  <c r="S109" i="13"/>
  <c r="S110" i="13"/>
  <c r="S111" i="13"/>
  <c r="S112" i="13"/>
  <c r="S113" i="13"/>
  <c r="S114" i="13"/>
  <c r="S115" i="13"/>
  <c r="S116" i="13"/>
  <c r="S117" i="13"/>
  <c r="S118" i="13"/>
  <c r="S119" i="13"/>
  <c r="S120" i="13"/>
  <c r="S121" i="13"/>
  <c r="S122" i="13"/>
  <c r="S123" i="13"/>
  <c r="S124" i="13"/>
  <c r="S125" i="13"/>
  <c r="S126" i="13"/>
  <c r="S127" i="13"/>
  <c r="S128" i="13"/>
  <c r="S129" i="13"/>
  <c r="S130" i="13"/>
  <c r="S131" i="13"/>
  <c r="S132" i="13"/>
  <c r="S133" i="13"/>
  <c r="S134" i="13"/>
  <c r="S135" i="13"/>
  <c r="S136" i="13"/>
  <c r="S137" i="13"/>
  <c r="S138" i="13"/>
  <c r="S139" i="13"/>
  <c r="S140" i="13"/>
  <c r="S141" i="13"/>
  <c r="S142" i="13"/>
  <c r="S143" i="13"/>
  <c r="S144" i="13"/>
  <c r="S7" i="13"/>
  <c r="O8" i="13"/>
  <c r="Q8" i="13" s="1"/>
  <c r="P8" i="13"/>
  <c r="R8" i="13" s="1"/>
  <c r="O9" i="13"/>
  <c r="Q9" i="13" s="1"/>
  <c r="P9" i="13"/>
  <c r="R9" i="13" s="1"/>
  <c r="O10" i="13"/>
  <c r="Q10" i="13" s="1"/>
  <c r="P10" i="13"/>
  <c r="R10" i="13" s="1"/>
  <c r="O11" i="13"/>
  <c r="Q11" i="13" s="1"/>
  <c r="P11" i="13"/>
  <c r="R11" i="13" s="1"/>
  <c r="O12" i="13"/>
  <c r="Q12" i="13" s="1"/>
  <c r="P12" i="13"/>
  <c r="R12" i="13" s="1"/>
  <c r="O13" i="13"/>
  <c r="Q13" i="13" s="1"/>
  <c r="P13" i="13"/>
  <c r="R13" i="13" s="1"/>
  <c r="O14" i="13"/>
  <c r="Q14" i="13" s="1"/>
  <c r="P14" i="13"/>
  <c r="R14" i="13" s="1"/>
  <c r="O15" i="13"/>
  <c r="Q15" i="13" s="1"/>
  <c r="P15" i="13"/>
  <c r="R15" i="13" s="1"/>
  <c r="O16" i="13"/>
  <c r="Q16" i="13" s="1"/>
  <c r="P16" i="13"/>
  <c r="R16" i="13" s="1"/>
  <c r="O17" i="13"/>
  <c r="Q17" i="13" s="1"/>
  <c r="P17" i="13"/>
  <c r="R17" i="13" s="1"/>
  <c r="O18" i="13"/>
  <c r="Q18" i="13" s="1"/>
  <c r="P18" i="13"/>
  <c r="R18" i="13" s="1"/>
  <c r="O19" i="13"/>
  <c r="Q19" i="13" s="1"/>
  <c r="P19" i="13"/>
  <c r="R19" i="13" s="1"/>
  <c r="O20" i="13"/>
  <c r="Q20" i="13" s="1"/>
  <c r="P20" i="13"/>
  <c r="R20" i="13" s="1"/>
  <c r="O21" i="13"/>
  <c r="Q21" i="13" s="1"/>
  <c r="P21" i="13"/>
  <c r="R21" i="13" s="1"/>
  <c r="O22" i="13"/>
  <c r="Q22" i="13" s="1"/>
  <c r="P22" i="13"/>
  <c r="R22" i="13" s="1"/>
  <c r="O23" i="13"/>
  <c r="Q23" i="13" s="1"/>
  <c r="P23" i="13"/>
  <c r="R23" i="13" s="1"/>
  <c r="O24" i="13"/>
  <c r="Q24" i="13" s="1"/>
  <c r="P24" i="13"/>
  <c r="R24" i="13" s="1"/>
  <c r="O25" i="13"/>
  <c r="Q25" i="13" s="1"/>
  <c r="P25" i="13"/>
  <c r="R25" i="13" s="1"/>
  <c r="O26" i="13"/>
  <c r="Q26" i="13" s="1"/>
  <c r="P26" i="13"/>
  <c r="R26" i="13" s="1"/>
  <c r="O27" i="13"/>
  <c r="Q27" i="13" s="1"/>
  <c r="P27" i="13"/>
  <c r="R27" i="13" s="1"/>
  <c r="O28" i="13"/>
  <c r="Q28" i="13" s="1"/>
  <c r="P28" i="13"/>
  <c r="R28" i="13" s="1"/>
  <c r="O29" i="13"/>
  <c r="Q29" i="13" s="1"/>
  <c r="P29" i="13"/>
  <c r="R29" i="13" s="1"/>
  <c r="O30" i="13"/>
  <c r="Q30" i="13" s="1"/>
  <c r="P30" i="13"/>
  <c r="R30" i="13" s="1"/>
  <c r="O31" i="13"/>
  <c r="Q31" i="13" s="1"/>
  <c r="P31" i="13"/>
  <c r="R31" i="13" s="1"/>
  <c r="O32" i="13"/>
  <c r="Q32" i="13" s="1"/>
  <c r="P32" i="13"/>
  <c r="R32" i="13" s="1"/>
  <c r="O33" i="13"/>
  <c r="Q33" i="13" s="1"/>
  <c r="P33" i="13"/>
  <c r="R33" i="13" s="1"/>
  <c r="O34" i="13"/>
  <c r="Q34" i="13" s="1"/>
  <c r="P34" i="13"/>
  <c r="R34" i="13" s="1"/>
  <c r="O35" i="13"/>
  <c r="Q35" i="13" s="1"/>
  <c r="P35" i="13"/>
  <c r="R35" i="13" s="1"/>
  <c r="O36" i="13"/>
  <c r="Q36" i="13" s="1"/>
  <c r="P36" i="13"/>
  <c r="R36" i="13" s="1"/>
  <c r="O37" i="13"/>
  <c r="Q37" i="13" s="1"/>
  <c r="P37" i="13"/>
  <c r="R37" i="13" s="1"/>
  <c r="O38" i="13"/>
  <c r="Q38" i="13" s="1"/>
  <c r="P38" i="13"/>
  <c r="R38" i="13" s="1"/>
  <c r="O39" i="13"/>
  <c r="Q39" i="13" s="1"/>
  <c r="P39" i="13"/>
  <c r="R39" i="13" s="1"/>
  <c r="O40" i="13"/>
  <c r="Q40" i="13" s="1"/>
  <c r="P40" i="13"/>
  <c r="R40" i="13" s="1"/>
  <c r="O41" i="13"/>
  <c r="Q41" i="13" s="1"/>
  <c r="P41" i="13"/>
  <c r="R41" i="13" s="1"/>
  <c r="O42" i="13"/>
  <c r="Q42" i="13" s="1"/>
  <c r="P42" i="13"/>
  <c r="R42" i="13" s="1"/>
  <c r="O43" i="13"/>
  <c r="Q43" i="13" s="1"/>
  <c r="P43" i="13"/>
  <c r="R43" i="13" s="1"/>
  <c r="O44" i="13"/>
  <c r="Q44" i="13" s="1"/>
  <c r="P44" i="13"/>
  <c r="R44" i="13" s="1"/>
  <c r="O45" i="13"/>
  <c r="Q45" i="13" s="1"/>
  <c r="P45" i="13"/>
  <c r="R45" i="13" s="1"/>
  <c r="O46" i="13"/>
  <c r="Q46" i="13" s="1"/>
  <c r="P46" i="13"/>
  <c r="R46" i="13" s="1"/>
  <c r="O47" i="13"/>
  <c r="Q47" i="13" s="1"/>
  <c r="P47" i="13"/>
  <c r="R47" i="13" s="1"/>
  <c r="O48" i="13"/>
  <c r="Q48" i="13" s="1"/>
  <c r="P48" i="13"/>
  <c r="R48" i="13" s="1"/>
  <c r="O49" i="13"/>
  <c r="Q49" i="13" s="1"/>
  <c r="P49" i="13"/>
  <c r="R49" i="13" s="1"/>
  <c r="O50" i="13"/>
  <c r="Q50" i="13" s="1"/>
  <c r="P50" i="13"/>
  <c r="R50" i="13" s="1"/>
  <c r="O51" i="13"/>
  <c r="Q51" i="13" s="1"/>
  <c r="P51" i="13"/>
  <c r="R51" i="13" s="1"/>
  <c r="O52" i="13"/>
  <c r="Q52" i="13" s="1"/>
  <c r="P52" i="13"/>
  <c r="R52" i="13" s="1"/>
  <c r="O53" i="13"/>
  <c r="Q53" i="13" s="1"/>
  <c r="P53" i="13"/>
  <c r="R53" i="13" s="1"/>
  <c r="O54" i="13"/>
  <c r="Q54" i="13" s="1"/>
  <c r="P54" i="13"/>
  <c r="R54" i="13" s="1"/>
  <c r="O55" i="13"/>
  <c r="Q55" i="13" s="1"/>
  <c r="P55" i="13"/>
  <c r="R55" i="13" s="1"/>
  <c r="O56" i="13"/>
  <c r="Q56" i="13" s="1"/>
  <c r="P56" i="13"/>
  <c r="R56" i="13" s="1"/>
  <c r="O57" i="13"/>
  <c r="Q57" i="13" s="1"/>
  <c r="P57" i="13"/>
  <c r="R57" i="13" s="1"/>
  <c r="O58" i="13"/>
  <c r="Q58" i="13" s="1"/>
  <c r="P58" i="13"/>
  <c r="R58" i="13" s="1"/>
  <c r="O59" i="13"/>
  <c r="Q59" i="13" s="1"/>
  <c r="P59" i="13"/>
  <c r="R59" i="13" s="1"/>
  <c r="O60" i="13"/>
  <c r="Q60" i="13" s="1"/>
  <c r="P60" i="13"/>
  <c r="R60" i="13" s="1"/>
  <c r="O61" i="13"/>
  <c r="Q61" i="13" s="1"/>
  <c r="P61" i="13"/>
  <c r="R61" i="13" s="1"/>
  <c r="O62" i="13"/>
  <c r="Q62" i="13" s="1"/>
  <c r="P62" i="13"/>
  <c r="R62" i="13" s="1"/>
  <c r="O63" i="13"/>
  <c r="Q63" i="13" s="1"/>
  <c r="P63" i="13"/>
  <c r="R63" i="13" s="1"/>
  <c r="O64" i="13"/>
  <c r="Q64" i="13" s="1"/>
  <c r="P64" i="13"/>
  <c r="R64" i="13" s="1"/>
  <c r="O65" i="13"/>
  <c r="Q65" i="13" s="1"/>
  <c r="P65" i="13"/>
  <c r="R65" i="13" s="1"/>
  <c r="O66" i="13"/>
  <c r="Q66" i="13" s="1"/>
  <c r="P66" i="13"/>
  <c r="R66" i="13" s="1"/>
  <c r="O67" i="13"/>
  <c r="Q67" i="13" s="1"/>
  <c r="P67" i="13"/>
  <c r="R67" i="13" s="1"/>
  <c r="O68" i="13"/>
  <c r="Q68" i="13" s="1"/>
  <c r="P68" i="13"/>
  <c r="R68" i="13" s="1"/>
  <c r="O69" i="13"/>
  <c r="Q69" i="13" s="1"/>
  <c r="P69" i="13"/>
  <c r="R69" i="13" s="1"/>
  <c r="O70" i="13"/>
  <c r="Q70" i="13" s="1"/>
  <c r="P70" i="13"/>
  <c r="R70" i="13" s="1"/>
  <c r="O71" i="13"/>
  <c r="Q71" i="13" s="1"/>
  <c r="P71" i="13"/>
  <c r="R71" i="13" s="1"/>
  <c r="O72" i="13"/>
  <c r="Q72" i="13" s="1"/>
  <c r="P72" i="13"/>
  <c r="R72" i="13" s="1"/>
  <c r="O73" i="13"/>
  <c r="Q73" i="13" s="1"/>
  <c r="P73" i="13"/>
  <c r="R73" i="13" s="1"/>
  <c r="O74" i="13"/>
  <c r="Q74" i="13" s="1"/>
  <c r="P74" i="13"/>
  <c r="R74" i="13" s="1"/>
  <c r="O75" i="13"/>
  <c r="Q75" i="13" s="1"/>
  <c r="P75" i="13"/>
  <c r="R75" i="13" s="1"/>
  <c r="O76" i="13"/>
  <c r="Q76" i="13" s="1"/>
  <c r="P76" i="13"/>
  <c r="R76" i="13" s="1"/>
  <c r="O77" i="13"/>
  <c r="Q77" i="13" s="1"/>
  <c r="P77" i="13"/>
  <c r="R77" i="13" s="1"/>
  <c r="O78" i="13"/>
  <c r="Q78" i="13" s="1"/>
  <c r="P78" i="13"/>
  <c r="R78" i="13" s="1"/>
  <c r="O79" i="13"/>
  <c r="Q79" i="13" s="1"/>
  <c r="P79" i="13"/>
  <c r="R79" i="13" s="1"/>
  <c r="O80" i="13"/>
  <c r="Q80" i="13" s="1"/>
  <c r="P80" i="13"/>
  <c r="R80" i="13" s="1"/>
  <c r="O81" i="13"/>
  <c r="Q81" i="13" s="1"/>
  <c r="P81" i="13"/>
  <c r="R81" i="13" s="1"/>
  <c r="O82" i="13"/>
  <c r="Q82" i="13" s="1"/>
  <c r="P82" i="13"/>
  <c r="R82" i="13" s="1"/>
  <c r="O83" i="13"/>
  <c r="Q83" i="13" s="1"/>
  <c r="P83" i="13"/>
  <c r="R83" i="13" s="1"/>
  <c r="O84" i="13"/>
  <c r="Q84" i="13" s="1"/>
  <c r="P84" i="13"/>
  <c r="R84" i="13" s="1"/>
  <c r="O85" i="13"/>
  <c r="Q85" i="13" s="1"/>
  <c r="P85" i="13"/>
  <c r="R85" i="13" s="1"/>
  <c r="O86" i="13"/>
  <c r="Q86" i="13" s="1"/>
  <c r="P86" i="13"/>
  <c r="R86" i="13" s="1"/>
  <c r="O87" i="13"/>
  <c r="Q87" i="13" s="1"/>
  <c r="P87" i="13"/>
  <c r="R87" i="13" s="1"/>
  <c r="O88" i="13"/>
  <c r="Q88" i="13" s="1"/>
  <c r="P88" i="13"/>
  <c r="R88" i="13" s="1"/>
  <c r="O89" i="13"/>
  <c r="Q89" i="13" s="1"/>
  <c r="P89" i="13"/>
  <c r="R89" i="13" s="1"/>
  <c r="O90" i="13"/>
  <c r="Q90" i="13" s="1"/>
  <c r="P90" i="13"/>
  <c r="R90" i="13" s="1"/>
  <c r="O91" i="13"/>
  <c r="Q91" i="13" s="1"/>
  <c r="P91" i="13"/>
  <c r="R91" i="13" s="1"/>
  <c r="O92" i="13"/>
  <c r="Q92" i="13" s="1"/>
  <c r="P92" i="13"/>
  <c r="R92" i="13" s="1"/>
  <c r="O93" i="13"/>
  <c r="Q93" i="13" s="1"/>
  <c r="P93" i="13"/>
  <c r="R93" i="13" s="1"/>
  <c r="O94" i="13"/>
  <c r="Q94" i="13" s="1"/>
  <c r="P94" i="13"/>
  <c r="R94" i="13" s="1"/>
  <c r="O95" i="13"/>
  <c r="Q95" i="13" s="1"/>
  <c r="P95" i="13"/>
  <c r="R95" i="13" s="1"/>
  <c r="O96" i="13"/>
  <c r="Q96" i="13" s="1"/>
  <c r="P96" i="13"/>
  <c r="R96" i="13" s="1"/>
  <c r="O97" i="13"/>
  <c r="Q97" i="13" s="1"/>
  <c r="P97" i="13"/>
  <c r="R97" i="13" s="1"/>
  <c r="O98" i="13"/>
  <c r="Q98" i="13" s="1"/>
  <c r="P98" i="13"/>
  <c r="R98" i="13" s="1"/>
  <c r="O99" i="13"/>
  <c r="Q99" i="13" s="1"/>
  <c r="P99" i="13"/>
  <c r="R99" i="13" s="1"/>
  <c r="O100" i="13"/>
  <c r="Q100" i="13" s="1"/>
  <c r="P100" i="13"/>
  <c r="R100" i="13" s="1"/>
  <c r="O101" i="13"/>
  <c r="Q101" i="13" s="1"/>
  <c r="P101" i="13"/>
  <c r="R101" i="13" s="1"/>
  <c r="O102" i="13"/>
  <c r="Q102" i="13" s="1"/>
  <c r="P102" i="13"/>
  <c r="R102" i="13" s="1"/>
  <c r="O103" i="13"/>
  <c r="Q103" i="13" s="1"/>
  <c r="P103" i="13"/>
  <c r="R103" i="13" s="1"/>
  <c r="O104" i="13"/>
  <c r="Q104" i="13" s="1"/>
  <c r="P104" i="13"/>
  <c r="R104" i="13" s="1"/>
  <c r="O105" i="13"/>
  <c r="Q105" i="13" s="1"/>
  <c r="P105" i="13"/>
  <c r="R105" i="13" s="1"/>
  <c r="O106" i="13"/>
  <c r="Q106" i="13" s="1"/>
  <c r="P106" i="13"/>
  <c r="R106" i="13" s="1"/>
  <c r="O107" i="13"/>
  <c r="Q107" i="13" s="1"/>
  <c r="P107" i="13"/>
  <c r="R107" i="13" s="1"/>
  <c r="O108" i="13"/>
  <c r="Q108" i="13" s="1"/>
  <c r="P108" i="13"/>
  <c r="R108" i="13" s="1"/>
  <c r="O109" i="13"/>
  <c r="Q109" i="13" s="1"/>
  <c r="P109" i="13"/>
  <c r="R109" i="13" s="1"/>
  <c r="O110" i="13"/>
  <c r="Q110" i="13" s="1"/>
  <c r="P110" i="13"/>
  <c r="R110" i="13" s="1"/>
  <c r="O111" i="13"/>
  <c r="Q111" i="13" s="1"/>
  <c r="P111" i="13"/>
  <c r="R111" i="13" s="1"/>
  <c r="O112" i="13"/>
  <c r="Q112" i="13" s="1"/>
  <c r="P112" i="13"/>
  <c r="R112" i="13" s="1"/>
  <c r="O113" i="13"/>
  <c r="Q113" i="13" s="1"/>
  <c r="P113" i="13"/>
  <c r="R113" i="13" s="1"/>
  <c r="O114" i="13"/>
  <c r="Q114" i="13" s="1"/>
  <c r="P114" i="13"/>
  <c r="R114" i="13" s="1"/>
  <c r="O115" i="13"/>
  <c r="Q115" i="13" s="1"/>
  <c r="P115" i="13"/>
  <c r="R115" i="13" s="1"/>
  <c r="O116" i="13"/>
  <c r="Q116" i="13" s="1"/>
  <c r="P116" i="13"/>
  <c r="R116" i="13" s="1"/>
  <c r="O117" i="13"/>
  <c r="Q117" i="13" s="1"/>
  <c r="P117" i="13"/>
  <c r="R117" i="13" s="1"/>
  <c r="O118" i="13"/>
  <c r="Q118" i="13" s="1"/>
  <c r="P118" i="13"/>
  <c r="R118" i="13" s="1"/>
  <c r="O119" i="13"/>
  <c r="Q119" i="13" s="1"/>
  <c r="P119" i="13"/>
  <c r="R119" i="13" s="1"/>
  <c r="O120" i="13"/>
  <c r="Q120" i="13" s="1"/>
  <c r="P120" i="13"/>
  <c r="R120" i="13" s="1"/>
  <c r="O121" i="13"/>
  <c r="Q121" i="13" s="1"/>
  <c r="P121" i="13"/>
  <c r="R121" i="13" s="1"/>
  <c r="O122" i="13"/>
  <c r="Q122" i="13" s="1"/>
  <c r="P122" i="13"/>
  <c r="R122" i="13" s="1"/>
  <c r="O123" i="13"/>
  <c r="Q123" i="13" s="1"/>
  <c r="P123" i="13"/>
  <c r="R123" i="13" s="1"/>
  <c r="O124" i="13"/>
  <c r="Q124" i="13" s="1"/>
  <c r="P124" i="13"/>
  <c r="R124" i="13" s="1"/>
  <c r="O125" i="13"/>
  <c r="Q125" i="13" s="1"/>
  <c r="P125" i="13"/>
  <c r="R125" i="13" s="1"/>
  <c r="O126" i="13"/>
  <c r="Q126" i="13" s="1"/>
  <c r="P126" i="13"/>
  <c r="R126" i="13" s="1"/>
  <c r="O127" i="13"/>
  <c r="Q127" i="13" s="1"/>
  <c r="P127" i="13"/>
  <c r="R127" i="13" s="1"/>
  <c r="O128" i="13"/>
  <c r="Q128" i="13" s="1"/>
  <c r="P128" i="13"/>
  <c r="R128" i="13" s="1"/>
  <c r="O129" i="13"/>
  <c r="Q129" i="13" s="1"/>
  <c r="P129" i="13"/>
  <c r="R129" i="13" s="1"/>
  <c r="O130" i="13"/>
  <c r="Q130" i="13" s="1"/>
  <c r="P130" i="13"/>
  <c r="R130" i="13" s="1"/>
  <c r="O131" i="13"/>
  <c r="Q131" i="13" s="1"/>
  <c r="P131" i="13"/>
  <c r="R131" i="13" s="1"/>
  <c r="O132" i="13"/>
  <c r="Q132" i="13" s="1"/>
  <c r="P132" i="13"/>
  <c r="R132" i="13" s="1"/>
  <c r="O133" i="13"/>
  <c r="Q133" i="13" s="1"/>
  <c r="P133" i="13"/>
  <c r="R133" i="13" s="1"/>
  <c r="O134" i="13"/>
  <c r="Q134" i="13" s="1"/>
  <c r="P134" i="13"/>
  <c r="R134" i="13" s="1"/>
  <c r="O135" i="13"/>
  <c r="Q135" i="13" s="1"/>
  <c r="P135" i="13"/>
  <c r="R135" i="13" s="1"/>
  <c r="O136" i="13"/>
  <c r="Q136" i="13" s="1"/>
  <c r="P136" i="13"/>
  <c r="R136" i="13" s="1"/>
  <c r="O137" i="13"/>
  <c r="Q137" i="13" s="1"/>
  <c r="P137" i="13"/>
  <c r="R137" i="13" s="1"/>
  <c r="O138" i="13"/>
  <c r="Q138" i="13" s="1"/>
  <c r="P138" i="13"/>
  <c r="R138" i="13" s="1"/>
  <c r="O139" i="13"/>
  <c r="Q139" i="13" s="1"/>
  <c r="P139" i="13"/>
  <c r="R139" i="13" s="1"/>
  <c r="O140" i="13"/>
  <c r="Q140" i="13" s="1"/>
  <c r="P140" i="13"/>
  <c r="R140" i="13" s="1"/>
  <c r="O141" i="13"/>
  <c r="Q141" i="13" s="1"/>
  <c r="P141" i="13"/>
  <c r="R141" i="13" s="1"/>
  <c r="O142" i="13"/>
  <c r="Q142" i="13" s="1"/>
  <c r="P142" i="13"/>
  <c r="R142" i="13" s="1"/>
  <c r="O143" i="13"/>
  <c r="Q143" i="13" s="1"/>
  <c r="P143" i="13"/>
  <c r="R143" i="13" s="1"/>
  <c r="O144" i="13"/>
  <c r="Q144" i="13" s="1"/>
  <c r="P144" i="13"/>
  <c r="R144" i="13" s="1"/>
  <c r="P7" i="13"/>
  <c r="R7" i="13" s="1"/>
  <c r="O7" i="13"/>
  <c r="Q7" i="13" s="1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8" i="15"/>
  <c r="F9" i="15"/>
  <c r="G9" i="15"/>
  <c r="F10" i="15"/>
  <c r="G10" i="15"/>
  <c r="F11" i="15"/>
  <c r="G11" i="15"/>
  <c r="F12" i="15"/>
  <c r="G12" i="15"/>
  <c r="F13" i="15"/>
  <c r="G13" i="15"/>
  <c r="F14" i="15"/>
  <c r="G14" i="15"/>
  <c r="F15" i="15"/>
  <c r="G15" i="15"/>
  <c r="F16" i="15"/>
  <c r="G16" i="15"/>
  <c r="F17" i="15"/>
  <c r="G17" i="15"/>
  <c r="F18" i="15"/>
  <c r="G18" i="15"/>
  <c r="F19" i="15"/>
  <c r="G19" i="15"/>
  <c r="F20" i="15"/>
  <c r="G20" i="15"/>
  <c r="F21" i="15"/>
  <c r="G21" i="15"/>
  <c r="F22" i="15"/>
  <c r="G22" i="15"/>
  <c r="F23" i="15"/>
  <c r="G23" i="15"/>
  <c r="F24" i="15"/>
  <c r="G24" i="15"/>
  <c r="F25" i="15"/>
  <c r="G25" i="15"/>
  <c r="F26" i="15"/>
  <c r="G26" i="15"/>
  <c r="F27" i="15"/>
  <c r="G27" i="15"/>
  <c r="F28" i="15"/>
  <c r="G28" i="15"/>
  <c r="F29" i="15"/>
  <c r="G29" i="15"/>
  <c r="F30" i="15"/>
  <c r="G30" i="15"/>
  <c r="F31" i="15"/>
  <c r="G31" i="15"/>
  <c r="F32" i="15"/>
  <c r="G32" i="15"/>
  <c r="F33" i="15"/>
  <c r="G33" i="15"/>
  <c r="F34" i="15"/>
  <c r="G34" i="15"/>
  <c r="F35" i="15"/>
  <c r="G35" i="15"/>
  <c r="F36" i="15"/>
  <c r="G36" i="15"/>
  <c r="F37" i="15"/>
  <c r="G37" i="15"/>
  <c r="F38" i="15"/>
  <c r="G38" i="15"/>
  <c r="F39" i="15"/>
  <c r="G39" i="15"/>
  <c r="F40" i="15"/>
  <c r="G40" i="15"/>
  <c r="F41" i="15"/>
  <c r="G41" i="15"/>
  <c r="F42" i="15"/>
  <c r="G42" i="15"/>
  <c r="F43" i="15"/>
  <c r="G43" i="15"/>
  <c r="F44" i="15"/>
  <c r="G44" i="15"/>
  <c r="F45" i="15"/>
  <c r="G45" i="15"/>
  <c r="F46" i="15"/>
  <c r="G46" i="15"/>
  <c r="F47" i="15"/>
  <c r="G47" i="15"/>
  <c r="F48" i="15"/>
  <c r="G48" i="15"/>
  <c r="F49" i="15"/>
  <c r="G49" i="15"/>
  <c r="F50" i="15"/>
  <c r="G50" i="15"/>
  <c r="F51" i="15"/>
  <c r="G51" i="15"/>
  <c r="F52" i="15"/>
  <c r="G52" i="15"/>
  <c r="F53" i="15"/>
  <c r="G53" i="15"/>
  <c r="F54" i="15"/>
  <c r="G54" i="15"/>
  <c r="F55" i="15"/>
  <c r="G55" i="15"/>
  <c r="F56" i="15"/>
  <c r="G56" i="15"/>
  <c r="F57" i="15"/>
  <c r="G57" i="15"/>
  <c r="F58" i="15"/>
  <c r="G58" i="15"/>
  <c r="F59" i="15"/>
  <c r="G59" i="15"/>
  <c r="F60" i="15"/>
  <c r="G60" i="15"/>
  <c r="F61" i="15"/>
  <c r="G61" i="15"/>
  <c r="F62" i="15"/>
  <c r="G62" i="15"/>
  <c r="F63" i="15"/>
  <c r="G63" i="15"/>
  <c r="F64" i="15"/>
  <c r="G64" i="15"/>
  <c r="F65" i="15"/>
  <c r="G65" i="15"/>
  <c r="F66" i="15"/>
  <c r="G66" i="15"/>
  <c r="F67" i="15"/>
  <c r="G67" i="15"/>
  <c r="F68" i="15"/>
  <c r="G68" i="15"/>
  <c r="F69" i="15"/>
  <c r="G69" i="15"/>
  <c r="F70" i="15"/>
  <c r="G70" i="15"/>
  <c r="F71" i="15"/>
  <c r="G71" i="15"/>
  <c r="F72" i="15"/>
  <c r="G72" i="15"/>
  <c r="F73" i="15"/>
  <c r="G73" i="15"/>
  <c r="F74" i="15"/>
  <c r="G74" i="15"/>
  <c r="F75" i="15"/>
  <c r="G75" i="15"/>
  <c r="F76" i="15"/>
  <c r="G76" i="15"/>
  <c r="F77" i="15"/>
  <c r="G77" i="15"/>
  <c r="F78" i="15"/>
  <c r="G78" i="15"/>
  <c r="F79" i="15"/>
  <c r="G79" i="15"/>
  <c r="F80" i="15"/>
  <c r="G80" i="15"/>
  <c r="F81" i="15"/>
  <c r="G81" i="15"/>
  <c r="F82" i="15"/>
  <c r="G82" i="15"/>
  <c r="F83" i="15"/>
  <c r="G83" i="15"/>
  <c r="F84" i="15"/>
  <c r="G84" i="15"/>
  <c r="F85" i="15"/>
  <c r="G85" i="15"/>
  <c r="F86" i="15"/>
  <c r="G86" i="15"/>
  <c r="F87" i="15"/>
  <c r="G87" i="15"/>
  <c r="F88" i="15"/>
  <c r="G88" i="15"/>
  <c r="F89" i="15"/>
  <c r="G89" i="15"/>
  <c r="F90" i="15"/>
  <c r="G90" i="15"/>
  <c r="F91" i="15"/>
  <c r="G91" i="15"/>
  <c r="F92" i="15"/>
  <c r="G92" i="15"/>
  <c r="F93" i="15"/>
  <c r="G93" i="15"/>
  <c r="F94" i="15"/>
  <c r="G94" i="15"/>
  <c r="F95" i="15"/>
  <c r="G95" i="15"/>
  <c r="F96" i="15"/>
  <c r="G96" i="15"/>
  <c r="F97" i="15"/>
  <c r="G97" i="15"/>
  <c r="F98" i="15"/>
  <c r="G98" i="15"/>
  <c r="F99" i="15"/>
  <c r="G99" i="15"/>
  <c r="F100" i="15"/>
  <c r="G100" i="15"/>
  <c r="F101" i="15"/>
  <c r="G101" i="15"/>
  <c r="F102" i="15"/>
  <c r="G102" i="15"/>
  <c r="F103" i="15"/>
  <c r="G103" i="15"/>
  <c r="F104" i="15"/>
  <c r="G104" i="15"/>
  <c r="F105" i="15"/>
  <c r="G105" i="15"/>
  <c r="F106" i="15"/>
  <c r="G106" i="15"/>
  <c r="F107" i="15"/>
  <c r="G107" i="15"/>
  <c r="F108" i="15"/>
  <c r="G108" i="15"/>
  <c r="F109" i="15"/>
  <c r="G109" i="15"/>
  <c r="F110" i="15"/>
  <c r="G110" i="15"/>
  <c r="F111" i="15"/>
  <c r="G111" i="15"/>
  <c r="F112" i="15"/>
  <c r="G112" i="15"/>
  <c r="F113" i="15"/>
  <c r="G113" i="15"/>
  <c r="F114" i="15"/>
  <c r="G114" i="15"/>
  <c r="F115" i="15"/>
  <c r="G115" i="15"/>
  <c r="F116" i="15"/>
  <c r="G116" i="15"/>
  <c r="F117" i="15"/>
  <c r="G117" i="15"/>
  <c r="F118" i="15"/>
  <c r="G118" i="15"/>
  <c r="F119" i="15"/>
  <c r="G119" i="15"/>
  <c r="F120" i="15"/>
  <c r="G120" i="15"/>
  <c r="F121" i="15"/>
  <c r="G121" i="15"/>
  <c r="F122" i="15"/>
  <c r="G122" i="15"/>
  <c r="F123" i="15"/>
  <c r="G123" i="15"/>
  <c r="F124" i="15"/>
  <c r="G124" i="15"/>
  <c r="F125" i="15"/>
  <c r="G125" i="15"/>
  <c r="F126" i="15"/>
  <c r="G126" i="15"/>
  <c r="F127" i="15"/>
  <c r="G127" i="15"/>
  <c r="F128" i="15"/>
  <c r="G128" i="15"/>
  <c r="F129" i="15"/>
  <c r="G129" i="15"/>
  <c r="F130" i="15"/>
  <c r="G130" i="15"/>
  <c r="F131" i="15"/>
  <c r="G131" i="15"/>
  <c r="F132" i="15"/>
  <c r="G132" i="15"/>
  <c r="F133" i="15"/>
  <c r="G133" i="15"/>
  <c r="F134" i="15"/>
  <c r="G134" i="15"/>
  <c r="F135" i="15"/>
  <c r="G135" i="15"/>
  <c r="F136" i="15"/>
  <c r="G136" i="15"/>
  <c r="F137" i="15"/>
  <c r="G137" i="15"/>
  <c r="F138" i="15"/>
  <c r="G138" i="15"/>
  <c r="F139" i="15"/>
  <c r="G139" i="15"/>
  <c r="F140" i="15"/>
  <c r="G140" i="15"/>
  <c r="F141" i="15"/>
  <c r="G141" i="15"/>
  <c r="F142" i="15"/>
  <c r="G142" i="15"/>
  <c r="F143" i="15"/>
  <c r="G143" i="15"/>
  <c r="F144" i="15"/>
  <c r="G144" i="15"/>
  <c r="F145" i="15"/>
  <c r="G145" i="15"/>
  <c r="G8" i="15"/>
  <c r="F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8" i="15"/>
  <c r="D5" i="13"/>
  <c r="D8" i="13" s="1"/>
  <c r="F4" i="15"/>
  <c r="D142" i="13" l="1"/>
  <c r="D130" i="13"/>
  <c r="D114" i="13"/>
  <c r="D102" i="13"/>
  <c r="D137" i="13"/>
  <c r="D125" i="13"/>
  <c r="D109" i="13"/>
  <c r="D97" i="13"/>
  <c r="D89" i="13"/>
  <c r="D77" i="13"/>
  <c r="D140" i="13"/>
  <c r="D132" i="13"/>
  <c r="D124" i="13"/>
  <c r="D120" i="13"/>
  <c r="D112" i="13"/>
  <c r="D104" i="13"/>
  <c r="D96" i="13"/>
  <c r="D92" i="13"/>
  <c r="D84" i="13"/>
  <c r="D76" i="13"/>
  <c r="D68" i="13"/>
  <c r="D60" i="13"/>
  <c r="D56" i="13"/>
  <c r="D48" i="13"/>
  <c r="D36" i="13"/>
  <c r="D143" i="13"/>
  <c r="D139" i="13"/>
  <c r="D135" i="13"/>
  <c r="D131" i="13"/>
  <c r="D127" i="13"/>
  <c r="D123" i="13"/>
  <c r="D119" i="13"/>
  <c r="D115" i="13"/>
  <c r="D111" i="13"/>
  <c r="D107" i="13"/>
  <c r="D103" i="13"/>
  <c r="D99" i="13"/>
  <c r="D95" i="13"/>
  <c r="D91" i="13"/>
  <c r="D87" i="13"/>
  <c r="D83" i="13"/>
  <c r="D79" i="13"/>
  <c r="D75" i="13"/>
  <c r="D71" i="13"/>
  <c r="D67" i="13"/>
  <c r="D63" i="13"/>
  <c r="D59" i="13"/>
  <c r="D55" i="13"/>
  <c r="D51" i="13"/>
  <c r="D47" i="13"/>
  <c r="D43" i="13"/>
  <c r="D39" i="13"/>
  <c r="D35" i="13"/>
  <c r="D31" i="13"/>
  <c r="D27" i="13"/>
  <c r="D23" i="13"/>
  <c r="D19" i="13"/>
  <c r="D15" i="13"/>
  <c r="D11" i="13"/>
  <c r="D126" i="13"/>
  <c r="D110" i="13"/>
  <c r="D98" i="13"/>
  <c r="D94" i="13"/>
  <c r="D90" i="13"/>
  <c r="D86" i="13"/>
  <c r="D82" i="13"/>
  <c r="D78" i="13"/>
  <c r="G37" i="13" s="1"/>
  <c r="D74" i="13"/>
  <c r="D70" i="13"/>
  <c r="D66" i="13"/>
  <c r="D62" i="13"/>
  <c r="D58" i="13"/>
  <c r="D54" i="13"/>
  <c r="D50" i="13"/>
  <c r="D46" i="13"/>
  <c r="D42" i="13"/>
  <c r="D38" i="13"/>
  <c r="D34" i="13"/>
  <c r="D30" i="13"/>
  <c r="D26" i="13"/>
  <c r="D22" i="13"/>
  <c r="D18" i="13"/>
  <c r="D14" i="13"/>
  <c r="D10" i="13"/>
  <c r="D138" i="13"/>
  <c r="D122" i="13"/>
  <c r="D7" i="13"/>
  <c r="D129" i="13"/>
  <c r="D117" i="13"/>
  <c r="D105" i="13"/>
  <c r="D93" i="13"/>
  <c r="D81" i="13"/>
  <c r="D73" i="13"/>
  <c r="D69" i="13"/>
  <c r="D65" i="13"/>
  <c r="D61" i="13"/>
  <c r="D57" i="13"/>
  <c r="D53" i="13"/>
  <c r="D49" i="13"/>
  <c r="D45" i="13"/>
  <c r="D41" i="13"/>
  <c r="D37" i="13"/>
  <c r="D33" i="13"/>
  <c r="D29" i="13"/>
  <c r="D25" i="13"/>
  <c r="D21" i="13"/>
  <c r="D17" i="13"/>
  <c r="D13" i="13"/>
  <c r="D9" i="13"/>
  <c r="D134" i="13"/>
  <c r="D118" i="13"/>
  <c r="D106" i="13"/>
  <c r="D141" i="13"/>
  <c r="D133" i="13"/>
  <c r="D121" i="13"/>
  <c r="D113" i="13"/>
  <c r="D101" i="13"/>
  <c r="D85" i="13"/>
  <c r="D144" i="13"/>
  <c r="D136" i="13"/>
  <c r="D128" i="13"/>
  <c r="D116" i="13"/>
  <c r="D108" i="13"/>
  <c r="D100" i="13"/>
  <c r="D88" i="13"/>
  <c r="D80" i="13"/>
  <c r="G12" i="13" s="1"/>
  <c r="D72" i="13"/>
  <c r="D64" i="13"/>
  <c r="D52" i="13"/>
  <c r="D44" i="13"/>
  <c r="D40" i="13"/>
  <c r="D32" i="13"/>
  <c r="D28" i="13"/>
  <c r="D24" i="13"/>
  <c r="D20" i="13"/>
  <c r="D16" i="13"/>
  <c r="D12" i="13"/>
  <c r="G115" i="13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3" i="10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G125" i="8" s="1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G121" i="8" s="1"/>
  <c r="D120" i="8"/>
  <c r="D121" i="8"/>
  <c r="G117" i="8" s="1"/>
  <c r="D122" i="8"/>
  <c r="D123" i="8"/>
  <c r="D124" i="8"/>
  <c r="D125" i="8"/>
  <c r="D126" i="8"/>
  <c r="D127" i="8"/>
  <c r="D128" i="8"/>
  <c r="D129" i="8"/>
  <c r="D130" i="8"/>
  <c r="D131" i="8"/>
  <c r="D9" i="8"/>
  <c r="G128" i="8"/>
  <c r="G124" i="8"/>
  <c r="G120" i="8"/>
  <c r="G116" i="8"/>
  <c r="G113" i="8"/>
  <c r="G112" i="8"/>
  <c r="G109" i="8"/>
  <c r="G108" i="8"/>
  <c r="G105" i="8"/>
  <c r="G104" i="8"/>
  <c r="G101" i="8"/>
  <c r="G100" i="8"/>
  <c r="G97" i="8"/>
  <c r="G96" i="8"/>
  <c r="G93" i="8"/>
  <c r="G92" i="8"/>
  <c r="G89" i="8"/>
  <c r="G88" i="8"/>
  <c r="G85" i="8"/>
  <c r="G84" i="8"/>
  <c r="G81" i="8"/>
  <c r="G80" i="8"/>
  <c r="G77" i="8"/>
  <c r="G76" i="8"/>
  <c r="G74" i="8"/>
  <c r="G73" i="8"/>
  <c r="G72" i="8"/>
  <c r="G70" i="8"/>
  <c r="G69" i="8"/>
  <c r="G68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I11" i="1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9" i="2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G11" i="1" a="1"/>
  <c r="D3" i="10" a="1"/>
  <c r="F9" i="2" a="1"/>
  <c r="F7" i="13" a="1"/>
  <c r="F9" i="8" a="1"/>
  <c r="G70" i="13" l="1"/>
  <c r="G15" i="13"/>
  <c r="G92" i="13"/>
  <c r="G129" i="13"/>
  <c r="G19" i="13"/>
  <c r="G33" i="13"/>
  <c r="G58" i="13"/>
  <c r="G111" i="13"/>
  <c r="G63" i="13"/>
  <c r="G80" i="13"/>
  <c r="G113" i="13"/>
  <c r="G48" i="13"/>
  <c r="G140" i="13"/>
  <c r="G81" i="13"/>
  <c r="G26" i="13"/>
  <c r="G118" i="13"/>
  <c r="G143" i="13"/>
  <c r="G8" i="13"/>
  <c r="G44" i="13"/>
  <c r="G124" i="13"/>
  <c r="G69" i="13"/>
  <c r="G22" i="13"/>
  <c r="G102" i="13"/>
  <c r="G51" i="13"/>
  <c r="F10" i="13"/>
  <c r="F26" i="13"/>
  <c r="F42" i="13"/>
  <c r="F58" i="13"/>
  <c r="F74" i="13"/>
  <c r="F90" i="13"/>
  <c r="F106" i="13"/>
  <c r="F122" i="13"/>
  <c r="F138" i="13"/>
  <c r="F15" i="13"/>
  <c r="F31" i="13"/>
  <c r="F47" i="13"/>
  <c r="F63" i="13"/>
  <c r="F79" i="13"/>
  <c r="F95" i="13"/>
  <c r="F111" i="13"/>
  <c r="F127" i="13"/>
  <c r="F143" i="13"/>
  <c r="F20" i="13"/>
  <c r="F36" i="13"/>
  <c r="F52" i="13"/>
  <c r="F68" i="13"/>
  <c r="F84" i="13"/>
  <c r="F100" i="13"/>
  <c r="F116" i="13"/>
  <c r="F132" i="13"/>
  <c r="F9" i="13"/>
  <c r="F25" i="13"/>
  <c r="F41" i="13"/>
  <c r="F57" i="13"/>
  <c r="F73" i="13"/>
  <c r="F89" i="13"/>
  <c r="F105" i="13"/>
  <c r="F121" i="13"/>
  <c r="F137" i="13"/>
  <c r="F14" i="13"/>
  <c r="F30" i="13"/>
  <c r="F46" i="13"/>
  <c r="F62" i="13"/>
  <c r="F78" i="13"/>
  <c r="F94" i="13"/>
  <c r="F110" i="13"/>
  <c r="F126" i="13"/>
  <c r="F142" i="13"/>
  <c r="F19" i="13"/>
  <c r="F35" i="13"/>
  <c r="F51" i="13"/>
  <c r="F67" i="13"/>
  <c r="F83" i="13"/>
  <c r="F99" i="13"/>
  <c r="F115" i="13"/>
  <c r="F131" i="13"/>
  <c r="F8" i="13"/>
  <c r="F24" i="13"/>
  <c r="F40" i="13"/>
  <c r="F56" i="13"/>
  <c r="F72" i="13"/>
  <c r="F88" i="13"/>
  <c r="F104" i="13"/>
  <c r="F120" i="13"/>
  <c r="F136" i="13"/>
  <c r="F13" i="13"/>
  <c r="F29" i="13"/>
  <c r="F45" i="13"/>
  <c r="F61" i="13"/>
  <c r="F77" i="13"/>
  <c r="F93" i="13"/>
  <c r="F109" i="13"/>
  <c r="F125" i="13"/>
  <c r="F141" i="13"/>
  <c r="F18" i="13"/>
  <c r="F34" i="13"/>
  <c r="F50" i="13"/>
  <c r="F66" i="13"/>
  <c r="F82" i="13"/>
  <c r="F98" i="13"/>
  <c r="F114" i="13"/>
  <c r="F130" i="13"/>
  <c r="F7" i="13"/>
  <c r="F23" i="13"/>
  <c r="F39" i="13"/>
  <c r="F55" i="13"/>
  <c r="F71" i="13"/>
  <c r="F87" i="13"/>
  <c r="F103" i="13"/>
  <c r="F119" i="13"/>
  <c r="F135" i="13"/>
  <c r="F12" i="13"/>
  <c r="F28" i="13"/>
  <c r="F44" i="13"/>
  <c r="F60" i="13"/>
  <c r="F76" i="13"/>
  <c r="F92" i="13"/>
  <c r="F108" i="13"/>
  <c r="F124" i="13"/>
  <c r="F140" i="13"/>
  <c r="F17" i="13"/>
  <c r="F33" i="13"/>
  <c r="F49" i="13"/>
  <c r="F65" i="13"/>
  <c r="F81" i="13"/>
  <c r="F97" i="13"/>
  <c r="F113" i="13"/>
  <c r="F129" i="13"/>
  <c r="F22" i="13"/>
  <c r="F38" i="13"/>
  <c r="F54" i="13"/>
  <c r="F70" i="13"/>
  <c r="F86" i="13"/>
  <c r="F102" i="13"/>
  <c r="F118" i="13"/>
  <c r="F134" i="13"/>
  <c r="F11" i="13"/>
  <c r="F27" i="13"/>
  <c r="F43" i="13"/>
  <c r="F59" i="13"/>
  <c r="F75" i="13"/>
  <c r="F91" i="13"/>
  <c r="F107" i="13"/>
  <c r="F123" i="13"/>
  <c r="F139" i="13"/>
  <c r="F16" i="13"/>
  <c r="F32" i="13"/>
  <c r="F48" i="13"/>
  <c r="F64" i="13"/>
  <c r="F80" i="13"/>
  <c r="F96" i="13"/>
  <c r="F112" i="13"/>
  <c r="F128" i="13"/>
  <c r="F144" i="13"/>
  <c r="F21" i="13"/>
  <c r="F37" i="13"/>
  <c r="F53" i="13"/>
  <c r="F69" i="13"/>
  <c r="F85" i="13"/>
  <c r="F101" i="13"/>
  <c r="F117" i="13"/>
  <c r="F133" i="13"/>
  <c r="G28" i="13"/>
  <c r="G76" i="13"/>
  <c r="G112" i="13"/>
  <c r="G17" i="13"/>
  <c r="G65" i="13"/>
  <c r="G101" i="13"/>
  <c r="G7" i="13"/>
  <c r="G54" i="13"/>
  <c r="G90" i="13"/>
  <c r="G134" i="13"/>
  <c r="G47" i="13"/>
  <c r="G83" i="13"/>
  <c r="G68" i="13"/>
  <c r="G16" i="13"/>
  <c r="G60" i="13"/>
  <c r="G108" i="13"/>
  <c r="G144" i="13"/>
  <c r="G49" i="13"/>
  <c r="G97" i="13"/>
  <c r="G133" i="13"/>
  <c r="G38" i="13"/>
  <c r="G86" i="13"/>
  <c r="G122" i="13"/>
  <c r="G31" i="13"/>
  <c r="G79" i="13"/>
  <c r="G131" i="13"/>
  <c r="G32" i="13"/>
  <c r="G64" i="13"/>
  <c r="G96" i="13"/>
  <c r="G128" i="13"/>
  <c r="G21" i="13"/>
  <c r="G53" i="13"/>
  <c r="G85" i="13"/>
  <c r="G117" i="13"/>
  <c r="G10" i="13"/>
  <c r="G42" i="13"/>
  <c r="G74" i="13"/>
  <c r="G106" i="13"/>
  <c r="G138" i="13"/>
  <c r="G35" i="13"/>
  <c r="G67" i="13"/>
  <c r="G99" i="13"/>
  <c r="G135" i="13"/>
  <c r="G95" i="13"/>
  <c r="G127" i="13"/>
  <c r="G24" i="13"/>
  <c r="G40" i="13"/>
  <c r="G56" i="13"/>
  <c r="G72" i="13"/>
  <c r="G88" i="13"/>
  <c r="G104" i="13"/>
  <c r="G120" i="13"/>
  <c r="G136" i="13"/>
  <c r="G13" i="13"/>
  <c r="G29" i="13"/>
  <c r="G45" i="13"/>
  <c r="G61" i="13"/>
  <c r="G77" i="13"/>
  <c r="G93" i="13"/>
  <c r="G109" i="13"/>
  <c r="G125" i="13"/>
  <c r="G141" i="13"/>
  <c r="G18" i="13"/>
  <c r="G34" i="13"/>
  <c r="G50" i="13"/>
  <c r="G66" i="13"/>
  <c r="G82" i="13"/>
  <c r="G98" i="13"/>
  <c r="G114" i="13"/>
  <c r="G130" i="13"/>
  <c r="G11" i="13"/>
  <c r="G27" i="13"/>
  <c r="G43" i="13"/>
  <c r="G59" i="13"/>
  <c r="G75" i="13"/>
  <c r="G91" i="13"/>
  <c r="G107" i="13"/>
  <c r="G123" i="13"/>
  <c r="G139" i="13"/>
  <c r="G20" i="13"/>
  <c r="G36" i="13"/>
  <c r="G52" i="13"/>
  <c r="G84" i="13"/>
  <c r="G100" i="13"/>
  <c r="G116" i="13"/>
  <c r="G132" i="13"/>
  <c r="G9" i="13"/>
  <c r="G25" i="13"/>
  <c r="G41" i="13"/>
  <c r="G57" i="13"/>
  <c r="G73" i="13"/>
  <c r="G89" i="13"/>
  <c r="G105" i="13"/>
  <c r="G121" i="13"/>
  <c r="G137" i="13"/>
  <c r="G14" i="13"/>
  <c r="G30" i="13"/>
  <c r="G46" i="13"/>
  <c r="G62" i="13"/>
  <c r="G78" i="13"/>
  <c r="G94" i="13"/>
  <c r="G110" i="13"/>
  <c r="G126" i="13"/>
  <c r="G142" i="13"/>
  <c r="G23" i="13"/>
  <c r="G39" i="13"/>
  <c r="G55" i="13"/>
  <c r="G71" i="13"/>
  <c r="G87" i="13"/>
  <c r="G103" i="13"/>
  <c r="G119" i="13"/>
  <c r="D6" i="10"/>
  <c r="D10" i="10"/>
  <c r="D14" i="10"/>
  <c r="D18" i="10"/>
  <c r="D22" i="10"/>
  <c r="D26" i="10"/>
  <c r="D30" i="10"/>
  <c r="D34" i="10"/>
  <c r="D38" i="10"/>
  <c r="D42" i="10"/>
  <c r="D46" i="10"/>
  <c r="D50" i="10"/>
  <c r="D54" i="10"/>
  <c r="D58" i="10"/>
  <c r="D62" i="10"/>
  <c r="D66" i="10"/>
  <c r="D70" i="10"/>
  <c r="D74" i="10"/>
  <c r="D78" i="10"/>
  <c r="D82" i="10"/>
  <c r="D86" i="10"/>
  <c r="D90" i="10"/>
  <c r="D94" i="10"/>
  <c r="D98" i="10"/>
  <c r="D102" i="10"/>
  <c r="D106" i="10"/>
  <c r="D110" i="10"/>
  <c r="D3" i="10"/>
  <c r="D7" i="10"/>
  <c r="D11" i="10"/>
  <c r="D15" i="10"/>
  <c r="D19" i="10"/>
  <c r="D23" i="10"/>
  <c r="D27" i="10"/>
  <c r="D31" i="10"/>
  <c r="D35" i="10"/>
  <c r="D39" i="10"/>
  <c r="D43" i="10"/>
  <c r="D47" i="10"/>
  <c r="D51" i="10"/>
  <c r="D55" i="10"/>
  <c r="D59" i="10"/>
  <c r="D63" i="10"/>
  <c r="D67" i="10"/>
  <c r="D71" i="10"/>
  <c r="D75" i="10"/>
  <c r="D79" i="10"/>
  <c r="D83" i="10"/>
  <c r="D87" i="10"/>
  <c r="D91" i="10"/>
  <c r="D95" i="10"/>
  <c r="D99" i="10"/>
  <c r="D103" i="10"/>
  <c r="D107" i="10"/>
  <c r="D4" i="10"/>
  <c r="D8" i="10"/>
  <c r="D12" i="10"/>
  <c r="D16" i="10"/>
  <c r="D20" i="10"/>
  <c r="D24" i="10"/>
  <c r="D28" i="10"/>
  <c r="D32" i="10"/>
  <c r="D36" i="10"/>
  <c r="D40" i="10"/>
  <c r="D44" i="10"/>
  <c r="D48" i="10"/>
  <c r="D52" i="10"/>
  <c r="D56" i="10"/>
  <c r="D60" i="10"/>
  <c r="D64" i="10"/>
  <c r="D68" i="10"/>
  <c r="D72" i="10"/>
  <c r="D76" i="10"/>
  <c r="D80" i="10"/>
  <c r="D84" i="10"/>
  <c r="D88" i="10"/>
  <c r="D92" i="10"/>
  <c r="D96" i="10"/>
  <c r="D100" i="10"/>
  <c r="D104" i="10"/>
  <c r="D108" i="10"/>
  <c r="D73" i="10"/>
  <c r="D5" i="10"/>
  <c r="D9" i="10"/>
  <c r="D13" i="10"/>
  <c r="D17" i="10"/>
  <c r="D21" i="10"/>
  <c r="D25" i="10"/>
  <c r="D29" i="10"/>
  <c r="D33" i="10"/>
  <c r="D37" i="10"/>
  <c r="D41" i="10"/>
  <c r="D45" i="10"/>
  <c r="D49" i="10"/>
  <c r="D53" i="10"/>
  <c r="D57" i="10"/>
  <c r="D61" i="10"/>
  <c r="D65" i="10"/>
  <c r="D69" i="10"/>
  <c r="D77" i="10"/>
  <c r="D81" i="10"/>
  <c r="D85" i="10"/>
  <c r="D89" i="10"/>
  <c r="D93" i="10"/>
  <c r="D97" i="10"/>
  <c r="D101" i="10"/>
  <c r="D105" i="10"/>
  <c r="D109" i="10"/>
  <c r="G131" i="8"/>
  <c r="G129" i="8"/>
  <c r="G78" i="8"/>
  <c r="G82" i="8"/>
  <c r="G86" i="8"/>
  <c r="G90" i="8"/>
  <c r="G94" i="8"/>
  <c r="G98" i="8"/>
  <c r="G102" i="8"/>
  <c r="G106" i="8"/>
  <c r="G110" i="8"/>
  <c r="G114" i="8"/>
  <c r="G118" i="8"/>
  <c r="G122" i="8"/>
  <c r="G126" i="8"/>
  <c r="G130" i="8"/>
  <c r="G67" i="8"/>
  <c r="G71" i="8"/>
  <c r="G75" i="8"/>
  <c r="G79" i="8"/>
  <c r="G83" i="8"/>
  <c r="G87" i="8"/>
  <c r="G91" i="8"/>
  <c r="G95" i="8"/>
  <c r="G99" i="8"/>
  <c r="G103" i="8"/>
  <c r="G107" i="8"/>
  <c r="G111" i="8"/>
  <c r="G115" i="8"/>
  <c r="G119" i="8"/>
  <c r="G123" i="8"/>
  <c r="G127" i="8"/>
  <c r="F130" i="8"/>
  <c r="F126" i="8"/>
  <c r="F122" i="8"/>
  <c r="F118" i="8"/>
  <c r="F114" i="8"/>
  <c r="F110" i="8"/>
  <c r="F106" i="8"/>
  <c r="F102" i="8"/>
  <c r="F98" i="8"/>
  <c r="F94" i="8"/>
  <c r="F90" i="8"/>
  <c r="F86" i="8"/>
  <c r="F82" i="8"/>
  <c r="F78" i="8"/>
  <c r="F74" i="8"/>
  <c r="F70" i="8"/>
  <c r="F66" i="8"/>
  <c r="F62" i="8"/>
  <c r="F58" i="8"/>
  <c r="F54" i="8"/>
  <c r="F50" i="8"/>
  <c r="F46" i="8"/>
  <c r="F42" i="8"/>
  <c r="F38" i="8"/>
  <c r="F34" i="8"/>
  <c r="F30" i="8"/>
  <c r="F26" i="8"/>
  <c r="F22" i="8"/>
  <c r="F18" i="8"/>
  <c r="F14" i="8"/>
  <c r="F10" i="8"/>
  <c r="F121" i="8"/>
  <c r="F45" i="8"/>
  <c r="F29" i="8"/>
  <c r="F13" i="8"/>
  <c r="F128" i="8"/>
  <c r="F124" i="8"/>
  <c r="F120" i="8"/>
  <c r="F116" i="8"/>
  <c r="F112" i="8"/>
  <c r="F108" i="8"/>
  <c r="F104" i="8"/>
  <c r="F100" i="8"/>
  <c r="F96" i="8"/>
  <c r="F92" i="8"/>
  <c r="F88" i="8"/>
  <c r="F84" i="8"/>
  <c r="F80" i="8"/>
  <c r="F76" i="8"/>
  <c r="F72" i="8"/>
  <c r="F68" i="8"/>
  <c r="F64" i="8"/>
  <c r="F60" i="8"/>
  <c r="F56" i="8"/>
  <c r="F52" i="8"/>
  <c r="F48" i="8"/>
  <c r="F44" i="8"/>
  <c r="F40" i="8"/>
  <c r="F36" i="8"/>
  <c r="F32" i="8"/>
  <c r="F28" i="8"/>
  <c r="F24" i="8"/>
  <c r="F20" i="8"/>
  <c r="F16" i="8"/>
  <c r="F12" i="8"/>
  <c r="F53" i="8"/>
  <c r="F37" i="8"/>
  <c r="F21" i="8"/>
  <c r="F131" i="8"/>
  <c r="F127" i="8"/>
  <c r="F123" i="8"/>
  <c r="F119" i="8"/>
  <c r="F115" i="8"/>
  <c r="F111" i="8"/>
  <c r="F107" i="8"/>
  <c r="F103" i="8"/>
  <c r="F99" i="8"/>
  <c r="F95" i="8"/>
  <c r="F91" i="8"/>
  <c r="F87" i="8"/>
  <c r="F83" i="8"/>
  <c r="F79" i="8"/>
  <c r="F75" i="8"/>
  <c r="F71" i="8"/>
  <c r="F67" i="8"/>
  <c r="F63" i="8"/>
  <c r="F59" i="8"/>
  <c r="F55" i="8"/>
  <c r="F51" i="8"/>
  <c r="F47" i="8"/>
  <c r="F43" i="8"/>
  <c r="F39" i="8"/>
  <c r="F35" i="8"/>
  <c r="F31" i="8"/>
  <c r="F27" i="8"/>
  <c r="F23" i="8"/>
  <c r="F19" i="8"/>
  <c r="F15" i="8"/>
  <c r="F11" i="8"/>
  <c r="F129" i="8"/>
  <c r="F125" i="8"/>
  <c r="F117" i="8"/>
  <c r="F113" i="8"/>
  <c r="F109" i="8"/>
  <c r="F105" i="8"/>
  <c r="F101" i="8"/>
  <c r="F97" i="8"/>
  <c r="F93" i="8"/>
  <c r="F89" i="8"/>
  <c r="F85" i="8"/>
  <c r="F81" i="8"/>
  <c r="F77" i="8"/>
  <c r="F73" i="8"/>
  <c r="F69" i="8"/>
  <c r="F65" i="8"/>
  <c r="F61" i="8"/>
  <c r="F57" i="8"/>
  <c r="F49" i="8"/>
  <c r="F41" i="8"/>
  <c r="F33" i="8"/>
  <c r="F25" i="8"/>
  <c r="F17" i="8"/>
  <c r="F9" i="8"/>
  <c r="F10" i="2"/>
  <c r="F14" i="2"/>
  <c r="F18" i="2"/>
  <c r="F22" i="2"/>
  <c r="F26" i="2"/>
  <c r="F30" i="2"/>
  <c r="F34" i="2"/>
  <c r="F38" i="2"/>
  <c r="F42" i="2"/>
  <c r="F46" i="2"/>
  <c r="F50" i="2"/>
  <c r="F54" i="2"/>
  <c r="F58" i="2"/>
  <c r="F62" i="2"/>
  <c r="F66" i="2"/>
  <c r="F70" i="2"/>
  <c r="F74" i="2"/>
  <c r="F78" i="2"/>
  <c r="F82" i="2"/>
  <c r="F86" i="2"/>
  <c r="F90" i="2"/>
  <c r="F94" i="2"/>
  <c r="F98" i="2"/>
  <c r="F102" i="2"/>
  <c r="F106" i="2"/>
  <c r="F110" i="2"/>
  <c r="F114" i="2"/>
  <c r="F118" i="2"/>
  <c r="F122" i="2"/>
  <c r="F126" i="2"/>
  <c r="F130" i="2"/>
  <c r="F11" i="2"/>
  <c r="F15" i="2"/>
  <c r="F19" i="2"/>
  <c r="F23" i="2"/>
  <c r="F27" i="2"/>
  <c r="F31" i="2"/>
  <c r="F35" i="2"/>
  <c r="F39" i="2"/>
  <c r="F43" i="2"/>
  <c r="F47" i="2"/>
  <c r="F51" i="2"/>
  <c r="F55" i="2"/>
  <c r="F59" i="2"/>
  <c r="F63" i="2"/>
  <c r="F67" i="2"/>
  <c r="F71" i="2"/>
  <c r="F75" i="2"/>
  <c r="F79" i="2"/>
  <c r="F83" i="2"/>
  <c r="F87" i="2"/>
  <c r="F91" i="2"/>
  <c r="F95" i="2"/>
  <c r="F99" i="2"/>
  <c r="F103" i="2"/>
  <c r="F107" i="2"/>
  <c r="F111" i="2"/>
  <c r="F115" i="2"/>
  <c r="F119" i="2"/>
  <c r="F123" i="2"/>
  <c r="F127" i="2"/>
  <c r="F131" i="2"/>
  <c r="F12" i="2"/>
  <c r="F16" i="2"/>
  <c r="F20" i="2"/>
  <c r="F24" i="2"/>
  <c r="F28" i="2"/>
  <c r="F32" i="2"/>
  <c r="F36" i="2"/>
  <c r="F40" i="2"/>
  <c r="F44" i="2"/>
  <c r="F48" i="2"/>
  <c r="F52" i="2"/>
  <c r="F56" i="2"/>
  <c r="F60" i="2"/>
  <c r="F64" i="2"/>
  <c r="F68" i="2"/>
  <c r="F72" i="2"/>
  <c r="F76" i="2"/>
  <c r="F80" i="2"/>
  <c r="F84" i="2"/>
  <c r="F88" i="2"/>
  <c r="F92" i="2"/>
  <c r="F96" i="2"/>
  <c r="F100" i="2"/>
  <c r="F17" i="2"/>
  <c r="F33" i="2"/>
  <c r="F49" i="2"/>
  <c r="F65" i="2"/>
  <c r="F81" i="2"/>
  <c r="F97" i="2"/>
  <c r="F108" i="2"/>
  <c r="F116" i="2"/>
  <c r="F124" i="2"/>
  <c r="F21" i="2"/>
  <c r="F37" i="2"/>
  <c r="F53" i="2"/>
  <c r="F69" i="2"/>
  <c r="F85" i="2"/>
  <c r="F101" i="2"/>
  <c r="F109" i="2"/>
  <c r="F117" i="2"/>
  <c r="F125" i="2"/>
  <c r="F9" i="2"/>
  <c r="F25" i="2"/>
  <c r="F41" i="2"/>
  <c r="F57" i="2"/>
  <c r="F73" i="2"/>
  <c r="F89" i="2"/>
  <c r="F104" i="2"/>
  <c r="F112" i="2"/>
  <c r="F120" i="2"/>
  <c r="F128" i="2"/>
  <c r="F13" i="2"/>
  <c r="F29" i="2"/>
  <c r="F45" i="2"/>
  <c r="F61" i="2"/>
  <c r="F77" i="2"/>
  <c r="F93" i="2"/>
  <c r="F105" i="2"/>
  <c r="F113" i="2"/>
  <c r="F121" i="2"/>
  <c r="F129" i="2"/>
  <c r="G46" i="1"/>
  <c r="G86" i="1"/>
  <c r="G106" i="1"/>
  <c r="G35" i="1"/>
  <c r="G63" i="1"/>
  <c r="G91" i="1"/>
  <c r="G123" i="1"/>
  <c r="G20" i="1"/>
  <c r="G36" i="1"/>
  <c r="G52" i="1"/>
  <c r="G68" i="1"/>
  <c r="G84" i="1"/>
  <c r="G100" i="1"/>
  <c r="G116" i="1"/>
  <c r="G132" i="1"/>
  <c r="G25" i="1"/>
  <c r="G41" i="1"/>
  <c r="G57" i="1"/>
  <c r="G73" i="1"/>
  <c r="G89" i="1"/>
  <c r="G105" i="1"/>
  <c r="G121" i="1"/>
  <c r="G14" i="1"/>
  <c r="G30" i="1"/>
  <c r="G50" i="1"/>
  <c r="G66" i="1"/>
  <c r="G82" i="1"/>
  <c r="G102" i="1"/>
  <c r="G126" i="1"/>
  <c r="G23" i="1"/>
  <c r="G59" i="1"/>
  <c r="G95" i="1"/>
  <c r="G131" i="1"/>
  <c r="G43" i="1"/>
  <c r="G71" i="1"/>
  <c r="G99" i="1"/>
  <c r="G127" i="1"/>
  <c r="G24" i="1"/>
  <c r="G40" i="1"/>
  <c r="G56" i="1"/>
  <c r="G72" i="1"/>
  <c r="G88" i="1"/>
  <c r="G104" i="1"/>
  <c r="G120" i="1"/>
  <c r="G13" i="1"/>
  <c r="G29" i="1"/>
  <c r="G45" i="1"/>
  <c r="G61" i="1"/>
  <c r="G77" i="1"/>
  <c r="G93" i="1"/>
  <c r="G109" i="1"/>
  <c r="G125" i="1"/>
  <c r="G18" i="1"/>
  <c r="G34" i="1"/>
  <c r="G54" i="1"/>
  <c r="G70" i="1"/>
  <c r="G90" i="1"/>
  <c r="G110" i="1"/>
  <c r="G130" i="1"/>
  <c r="G31" i="1"/>
  <c r="G67" i="1"/>
  <c r="G103" i="1"/>
  <c r="G15" i="1"/>
  <c r="G51" i="1"/>
  <c r="G79" i="1"/>
  <c r="G107" i="1"/>
  <c r="G12" i="1"/>
  <c r="G28" i="1"/>
  <c r="G44" i="1"/>
  <c r="G60" i="1"/>
  <c r="G76" i="1"/>
  <c r="G92" i="1"/>
  <c r="G108" i="1"/>
  <c r="G124" i="1"/>
  <c r="G17" i="1"/>
  <c r="G33" i="1"/>
  <c r="G49" i="1"/>
  <c r="G65" i="1"/>
  <c r="G81" i="1"/>
  <c r="G97" i="1"/>
  <c r="G113" i="1"/>
  <c r="G129" i="1"/>
  <c r="G22" i="1"/>
  <c r="G38" i="1"/>
  <c r="G58" i="1"/>
  <c r="G74" i="1"/>
  <c r="G94" i="1"/>
  <c r="G122" i="1"/>
  <c r="G87" i="1"/>
  <c r="G48" i="1"/>
  <c r="G112" i="1"/>
  <c r="G53" i="1"/>
  <c r="G117" i="1"/>
  <c r="G62" i="1"/>
  <c r="G118" i="1"/>
  <c r="G47" i="1"/>
  <c r="G119" i="1"/>
  <c r="G115" i="1"/>
  <c r="G64" i="1"/>
  <c r="G128" i="1"/>
  <c r="G69" i="1"/>
  <c r="G133" i="1"/>
  <c r="G78" i="1"/>
  <c r="G11" i="1"/>
  <c r="G75" i="1"/>
  <c r="G27" i="1"/>
  <c r="G16" i="1"/>
  <c r="G80" i="1"/>
  <c r="G21" i="1"/>
  <c r="G85" i="1"/>
  <c r="G26" i="1"/>
  <c r="G98" i="1"/>
  <c r="G19" i="1"/>
  <c r="G83" i="1"/>
  <c r="G55" i="1"/>
  <c r="G32" i="1"/>
  <c r="G96" i="1"/>
  <c r="G37" i="1"/>
  <c r="G101" i="1"/>
  <c r="G42" i="1"/>
  <c r="G114" i="1"/>
  <c r="G39" i="1"/>
  <c r="G111" i="1"/>
</calcChain>
</file>

<file path=xl/sharedStrings.xml><?xml version="1.0" encoding="utf-8"?>
<sst xmlns="http://schemas.openxmlformats.org/spreadsheetml/2006/main" count="104" uniqueCount="46">
  <si>
    <t>Units: Degrees Fahrenheit</t>
  </si>
  <si>
    <t>Base Period: 1901-2000</t>
  </si>
  <si>
    <t>Missing: -99</t>
  </si>
  <si>
    <t xml:space="preserve"> Climate Division 3</t>
  </si>
  <si>
    <t xml:space="preserve"> Average Temperature</t>
  </si>
  <si>
    <t xml:space="preserve"> January-December</t>
  </si>
  <si>
    <t>Date</t>
  </si>
  <si>
    <t>Value</t>
  </si>
  <si>
    <t>Anomaly</t>
  </si>
  <si>
    <t>Pennsylvania</t>
  </si>
  <si>
    <t>New Jersey</t>
  </si>
  <si>
    <t xml:space="preserve"> Climate Division 2</t>
  </si>
  <si>
    <t>Average</t>
  </si>
  <si>
    <t>Units: Inches</t>
  </si>
  <si>
    <t xml:space="preserve"> Precipitation</t>
  </si>
  <si>
    <t>Average of the two divisions</t>
  </si>
  <si>
    <t>Smoothed</t>
  </si>
  <si>
    <t>Northeast Extremes in 1-Day Precipitation (Step 4*) Annual (January-December) 1910-2017</t>
  </si>
  <si>
    <t>Actual Percent</t>
  </si>
  <si>
    <r>
      <t>1951-1980 Average Temperature = 57.2</t>
    </r>
    <r>
      <rPr>
        <sz val="11"/>
        <color theme="1"/>
        <rFont val="Calibri"/>
        <family val="2"/>
      </rPr>
      <t>°F</t>
    </r>
  </si>
  <si>
    <t>L-OTI (deg C)</t>
  </si>
  <si>
    <t>smoothed</t>
  </si>
  <si>
    <t>L-OTI (degF)</t>
  </si>
  <si>
    <t>Year</t>
  </si>
  <si>
    <t>No_Smoothing</t>
  </si>
  <si>
    <t>Lowess(5)</t>
  </si>
  <si>
    <t>https://data.giss.nasa.gov/gistemp/faq/abs_temp.html</t>
  </si>
  <si>
    <t>"For the global mean, the most trusted models produce a value of roughly 14°C, i.e. 57.2°F, but it may easily be anywhere between 56 and 58°F and regionally, let alone locally, the situation is even worse."</t>
  </si>
  <si>
    <t>1951-1980 Global Mean Temperature</t>
  </si>
  <si>
    <t>°C</t>
  </si>
  <si>
    <t>°F</t>
  </si>
  <si>
    <t>L-OTI (deg F)</t>
  </si>
  <si>
    <t>smoothing time</t>
  </si>
  <si>
    <t>From: https://data.giss.nasa.gov/gistemp/graphs/#</t>
  </si>
  <si>
    <t>"Global Annual Mean Surface Air Temperature Change</t>
  </si>
  <si>
    <t>Land-ocean temperature index, 1880 to present, with base period 1951-1980.</t>
  </si>
  <si>
    <t>Smooth</t>
  </si>
  <si>
    <t>°C No_Smoothing</t>
  </si>
  <si>
    <t>°F No_Smoothing</t>
  </si>
  <si>
    <t>Annual Average Temperature °F</t>
  </si>
  <si>
    <t>1951-1980 Average Temperature = 57.2°F</t>
  </si>
  <si>
    <t>Lowess(30)</t>
  </si>
  <si>
    <t>Land-Ocean: Global Means (J-D)</t>
  </si>
  <si>
    <t>°C Lowess(30)</t>
  </si>
  <si>
    <t>°F Lowess(30)</t>
  </si>
  <si>
    <t>Temperature Trend °F -- Moving 30 Year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</si>
</sst>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family val="2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15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2" fontId="0" fillId="0" borderId="0" xfId="0" applyNumberFormat="1"/>
    <xf numFmtId="0" fontId="3" fillId="0" borderId="0" xfId="0" applyFont="1" applyAlignment="1">
      <alignment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openxmlformats.org/officeDocument/2006/relationships/worksheet" Target="worksheets/sheet6.xml"/><Relationship Id="rId18" Type="http://schemas.openxmlformats.org/officeDocument/2006/relationships/styles" Target="styles.xml"/><Relationship Id="rId3" Type="http://schemas.openxmlformats.org/officeDocument/2006/relationships/chartsheet" Target="chartsheets/sheet2.xml"/><Relationship Id="rId21" Type="http://schemas.microsoft.com/office/2006/relationships/vbaProject" Target="vbaProject.bin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7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8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worksheet" Target="worksheets/sheet5.xml"/><Relationship Id="rId5" Type="http://schemas.openxmlformats.org/officeDocument/2006/relationships/chartsheet" Target="chartsheets/sheet3.xml"/><Relationship Id="rId15" Type="http://schemas.openxmlformats.org/officeDocument/2006/relationships/worksheet" Target="worksheets/sheet7.xml"/><Relationship Id="rId10" Type="http://schemas.openxmlformats.org/officeDocument/2006/relationships/chartsheet" Target="chartsheets/sheet6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chartsheet" Target="chartsheets/sheet5.xml"/><Relationship Id="rId14" Type="http://schemas.openxmlformats.org/officeDocument/2006/relationships/chartsheet" Target="chartsheets/sheet8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image" Target="../media/image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image" Target="../media/image5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143211799021393E-2"/>
          <c:y val="2.0409130676847211E-2"/>
          <c:w val="0.87933502488887116"/>
          <c:h val="0.91064821442774202"/>
        </c:manualLayout>
      </c:layout>
      <c:lineChart>
        <c:grouping val="standard"/>
        <c:varyColors val="0"/>
        <c:ser>
          <c:idx val="1"/>
          <c:order val="0"/>
          <c:tx>
            <c:v>Average Annual Temperature</c:v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none"/>
          </c:marker>
          <c:cat>
            <c:numRef>
              <c:f>'Data -- PA Temp'!$F$11:$F$133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-- PA Temp'!$E$11:$E$133</c:f>
              <c:numCache>
                <c:formatCode>General</c:formatCode>
                <c:ptCount val="123"/>
                <c:pt idx="0">
                  <c:v>50.1</c:v>
                </c:pt>
                <c:pt idx="1">
                  <c:v>51.3</c:v>
                </c:pt>
                <c:pt idx="2">
                  <c:v>51.1</c:v>
                </c:pt>
                <c:pt idx="3">
                  <c:v>52.4</c:v>
                </c:pt>
                <c:pt idx="4">
                  <c:v>50.8</c:v>
                </c:pt>
                <c:pt idx="5">
                  <c:v>52.2</c:v>
                </c:pt>
                <c:pt idx="6">
                  <c:v>50.1</c:v>
                </c:pt>
                <c:pt idx="7">
                  <c:v>50.6</c:v>
                </c:pt>
                <c:pt idx="8">
                  <c:v>50.4</c:v>
                </c:pt>
                <c:pt idx="9">
                  <c:v>47.8</c:v>
                </c:pt>
                <c:pt idx="10">
                  <c:v>49.9</c:v>
                </c:pt>
                <c:pt idx="11">
                  <c:v>51.5</c:v>
                </c:pt>
                <c:pt idx="12">
                  <c:v>48.5</c:v>
                </c:pt>
                <c:pt idx="13">
                  <c:v>51.1</c:v>
                </c:pt>
                <c:pt idx="14">
                  <c:v>50.4</c:v>
                </c:pt>
                <c:pt idx="15">
                  <c:v>50.3</c:v>
                </c:pt>
                <c:pt idx="16">
                  <c:v>51.2</c:v>
                </c:pt>
                <c:pt idx="17">
                  <c:v>49.8</c:v>
                </c:pt>
                <c:pt idx="18">
                  <c:v>52.6</c:v>
                </c:pt>
                <c:pt idx="19">
                  <c:v>49.6</c:v>
                </c:pt>
                <c:pt idx="20">
                  <c:v>50.8</c:v>
                </c:pt>
                <c:pt idx="21">
                  <c:v>50</c:v>
                </c:pt>
                <c:pt idx="22">
                  <c:v>48.4</c:v>
                </c:pt>
                <c:pt idx="23">
                  <c:v>50.8</c:v>
                </c:pt>
                <c:pt idx="24">
                  <c:v>52.1</c:v>
                </c:pt>
                <c:pt idx="25">
                  <c:v>50.2</c:v>
                </c:pt>
                <c:pt idx="26">
                  <c:v>53.1</c:v>
                </c:pt>
                <c:pt idx="27">
                  <c:v>51.6</c:v>
                </c:pt>
                <c:pt idx="28">
                  <c:v>51</c:v>
                </c:pt>
                <c:pt idx="29">
                  <c:v>49.4</c:v>
                </c:pt>
                <c:pt idx="30">
                  <c:v>50.7</c:v>
                </c:pt>
                <c:pt idx="31">
                  <c:v>48.9</c:v>
                </c:pt>
                <c:pt idx="32">
                  <c:v>51</c:v>
                </c:pt>
                <c:pt idx="33">
                  <c:v>50.9</c:v>
                </c:pt>
                <c:pt idx="34">
                  <c:v>51.1</c:v>
                </c:pt>
                <c:pt idx="35">
                  <c:v>51.7</c:v>
                </c:pt>
                <c:pt idx="36">
                  <c:v>53.2</c:v>
                </c:pt>
                <c:pt idx="37">
                  <c:v>52.1</c:v>
                </c:pt>
                <c:pt idx="38">
                  <c:v>51.8</c:v>
                </c:pt>
                <c:pt idx="39">
                  <c:v>50.5</c:v>
                </c:pt>
                <c:pt idx="40">
                  <c:v>50.4</c:v>
                </c:pt>
                <c:pt idx="41">
                  <c:v>50.9</c:v>
                </c:pt>
                <c:pt idx="42">
                  <c:v>51.4</c:v>
                </c:pt>
                <c:pt idx="43">
                  <c:v>52.1</c:v>
                </c:pt>
                <c:pt idx="44">
                  <c:v>51.7</c:v>
                </c:pt>
                <c:pt idx="45">
                  <c:v>48.7</c:v>
                </c:pt>
                <c:pt idx="46">
                  <c:v>51.7</c:v>
                </c:pt>
                <c:pt idx="47">
                  <c:v>51.2</c:v>
                </c:pt>
                <c:pt idx="48">
                  <c:v>50.7</c:v>
                </c:pt>
                <c:pt idx="49">
                  <c:v>51.2</c:v>
                </c:pt>
                <c:pt idx="50">
                  <c:v>51</c:v>
                </c:pt>
                <c:pt idx="51">
                  <c:v>52.2</c:v>
                </c:pt>
                <c:pt idx="52">
                  <c:v>50.9</c:v>
                </c:pt>
                <c:pt idx="53">
                  <c:v>50.8</c:v>
                </c:pt>
                <c:pt idx="54">
                  <c:v>53.3</c:v>
                </c:pt>
                <c:pt idx="55">
                  <c:v>50.6</c:v>
                </c:pt>
                <c:pt idx="56">
                  <c:v>51.5</c:v>
                </c:pt>
                <c:pt idx="57">
                  <c:v>52.1</c:v>
                </c:pt>
                <c:pt idx="58">
                  <c:v>53.1</c:v>
                </c:pt>
                <c:pt idx="59">
                  <c:v>51.9</c:v>
                </c:pt>
                <c:pt idx="60">
                  <c:v>51.7</c:v>
                </c:pt>
                <c:pt idx="61">
                  <c:v>50.8</c:v>
                </c:pt>
                <c:pt idx="62">
                  <c:v>52</c:v>
                </c:pt>
                <c:pt idx="63">
                  <c:v>49.5</c:v>
                </c:pt>
                <c:pt idx="64">
                  <c:v>52.5</c:v>
                </c:pt>
                <c:pt idx="65">
                  <c:v>50.6</c:v>
                </c:pt>
                <c:pt idx="66">
                  <c:v>51</c:v>
                </c:pt>
                <c:pt idx="67">
                  <c:v>49.9</c:v>
                </c:pt>
                <c:pt idx="68">
                  <c:v>49.9</c:v>
                </c:pt>
                <c:pt idx="69">
                  <c:v>51.1</c:v>
                </c:pt>
                <c:pt idx="70">
                  <c:v>50.8</c:v>
                </c:pt>
                <c:pt idx="71">
                  <c:v>50.8</c:v>
                </c:pt>
                <c:pt idx="72">
                  <c:v>50</c:v>
                </c:pt>
                <c:pt idx="73">
                  <c:v>51</c:v>
                </c:pt>
                <c:pt idx="74">
                  <c:v>51</c:v>
                </c:pt>
                <c:pt idx="75">
                  <c:v>51.1</c:v>
                </c:pt>
                <c:pt idx="76">
                  <c:v>51.6</c:v>
                </c:pt>
                <c:pt idx="77">
                  <c:v>50.5</c:v>
                </c:pt>
                <c:pt idx="78">
                  <c:v>52.9</c:v>
                </c:pt>
                <c:pt idx="79">
                  <c:v>51.7</c:v>
                </c:pt>
                <c:pt idx="80">
                  <c:v>52.2</c:v>
                </c:pt>
                <c:pt idx="81">
                  <c:v>50.7</c:v>
                </c:pt>
                <c:pt idx="82">
                  <c:v>51.3</c:v>
                </c:pt>
                <c:pt idx="83">
                  <c:v>49.9</c:v>
                </c:pt>
                <c:pt idx="84">
                  <c:v>51</c:v>
                </c:pt>
                <c:pt idx="85">
                  <c:v>51.3</c:v>
                </c:pt>
                <c:pt idx="86">
                  <c:v>51</c:v>
                </c:pt>
                <c:pt idx="87">
                  <c:v>51.1</c:v>
                </c:pt>
                <c:pt idx="88">
                  <c:v>52</c:v>
                </c:pt>
                <c:pt idx="89">
                  <c:v>51.7</c:v>
                </c:pt>
                <c:pt idx="90">
                  <c:v>52.2</c:v>
                </c:pt>
                <c:pt idx="91">
                  <c:v>51.9</c:v>
                </c:pt>
                <c:pt idx="92">
                  <c:v>52.3</c:v>
                </c:pt>
                <c:pt idx="93">
                  <c:v>51.3</c:v>
                </c:pt>
                <c:pt idx="94">
                  <c:v>51</c:v>
                </c:pt>
                <c:pt idx="95">
                  <c:v>54</c:v>
                </c:pt>
                <c:pt idx="96">
                  <c:v>53.9</c:v>
                </c:pt>
                <c:pt idx="97">
                  <c:v>50.9</c:v>
                </c:pt>
                <c:pt idx="98">
                  <c:v>51.8</c:v>
                </c:pt>
                <c:pt idx="99">
                  <c:v>51.5</c:v>
                </c:pt>
                <c:pt idx="100">
                  <c:v>52</c:v>
                </c:pt>
                <c:pt idx="101">
                  <c:v>50.9</c:v>
                </c:pt>
                <c:pt idx="102">
                  <c:v>51.6</c:v>
                </c:pt>
                <c:pt idx="103">
                  <c:v>54.9</c:v>
                </c:pt>
                <c:pt idx="104">
                  <c:v>53.6</c:v>
                </c:pt>
                <c:pt idx="105">
                  <c:v>51.7</c:v>
                </c:pt>
                <c:pt idx="106">
                  <c:v>53.2</c:v>
                </c:pt>
                <c:pt idx="107">
                  <c:v>53.8</c:v>
                </c:pt>
                <c:pt idx="108">
                  <c:v>51.4</c:v>
                </c:pt>
                <c:pt idx="109">
                  <c:v>52.7</c:v>
                </c:pt>
                <c:pt idx="110">
                  <c:v>53.1</c:v>
                </c:pt>
                <c:pt idx="111">
                  <c:v>54.6</c:v>
                </c:pt>
                <c:pt idx="112">
                  <c:v>53.2</c:v>
                </c:pt>
                <c:pt idx="113">
                  <c:v>52.9</c:v>
                </c:pt>
                <c:pt idx="114">
                  <c:v>52.3</c:v>
                </c:pt>
                <c:pt idx="115">
                  <c:v>54.1</c:v>
                </c:pt>
                <c:pt idx="116">
                  <c:v>54.2</c:v>
                </c:pt>
                <c:pt idx="117">
                  <c:v>55.2</c:v>
                </c:pt>
                <c:pt idx="118">
                  <c:v>52.6</c:v>
                </c:pt>
                <c:pt idx="119">
                  <c:v>51.2</c:v>
                </c:pt>
                <c:pt idx="120">
                  <c:v>53.3</c:v>
                </c:pt>
                <c:pt idx="121">
                  <c:v>54.5</c:v>
                </c:pt>
                <c:pt idx="122">
                  <c:v>54.3</c:v>
                </c:pt>
              </c:numCache>
            </c:numRef>
          </c:val>
          <c:smooth val="0"/>
        </c:ser>
        <c:ser>
          <c:idx val="2"/>
          <c:order val="1"/>
          <c:tx>
            <c:v>Trend -- Moving 30 Year Average</c:v>
          </c:tx>
          <c:spPr>
            <a:ln w="571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'Data -- PA Temp'!$F$11:$F$133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-- PA Temp'!$G$11:$G$133</c:f>
              <c:numCache>
                <c:formatCode>General</c:formatCode>
                <c:ptCount val="123"/>
                <c:pt idx="0">
                  <c:v>50.933918799397333</c:v>
                </c:pt>
                <c:pt idx="1">
                  <c:v>50.886464844716095</c:v>
                </c:pt>
                <c:pt idx="2">
                  <c:v>50.84111119757717</c:v>
                </c:pt>
                <c:pt idx="3">
                  <c:v>50.798249360541128</c:v>
                </c:pt>
                <c:pt idx="4">
                  <c:v>50.758155114740205</c:v>
                </c:pt>
                <c:pt idx="5">
                  <c:v>50.720816848660142</c:v>
                </c:pt>
                <c:pt idx="6">
                  <c:v>50.686028357079131</c:v>
                </c:pt>
                <c:pt idx="7">
                  <c:v>50.653260320250389</c:v>
                </c:pt>
                <c:pt idx="8">
                  <c:v>50.621812724281526</c:v>
                </c:pt>
                <c:pt idx="9">
                  <c:v>50.590750976320614</c:v>
                </c:pt>
                <c:pt idx="10">
                  <c:v>50.558900801384404</c:v>
                </c:pt>
                <c:pt idx="11">
                  <c:v>50.525158266884532</c:v>
                </c:pt>
                <c:pt idx="12">
                  <c:v>50.48822503433064</c:v>
                </c:pt>
                <c:pt idx="13">
                  <c:v>50.446476547392329</c:v>
                </c:pt>
                <c:pt idx="14">
                  <c:v>50.401245077287875</c:v>
                </c:pt>
                <c:pt idx="15">
                  <c:v>50.367927393286855</c:v>
                </c:pt>
                <c:pt idx="16">
                  <c:v>50.397922826629298</c:v>
                </c:pt>
                <c:pt idx="17">
                  <c:v>50.447348565188719</c:v>
                </c:pt>
                <c:pt idx="18">
                  <c:v>50.506304800765065</c:v>
                </c:pt>
                <c:pt idx="19">
                  <c:v>50.563947873736581</c:v>
                </c:pt>
                <c:pt idx="20">
                  <c:v>50.611269181773608</c:v>
                </c:pt>
                <c:pt idx="21">
                  <c:v>50.64481561213956</c:v>
                </c:pt>
                <c:pt idx="22">
                  <c:v>50.664487134547237</c:v>
                </c:pt>
                <c:pt idx="23">
                  <c:v>50.675842389910969</c:v>
                </c:pt>
                <c:pt idx="24">
                  <c:v>50.691198258366576</c:v>
                </c:pt>
                <c:pt idx="25">
                  <c:v>50.718034247057638</c:v>
                </c:pt>
                <c:pt idx="26">
                  <c:v>50.757997285325551</c:v>
                </c:pt>
                <c:pt idx="27">
                  <c:v>50.810689925829962</c:v>
                </c:pt>
                <c:pt idx="28">
                  <c:v>50.86995514623802</c:v>
                </c:pt>
                <c:pt idx="29">
                  <c:v>50.929557943032812</c:v>
                </c:pt>
                <c:pt idx="30">
                  <c:v>50.985388843590364</c:v>
                </c:pt>
                <c:pt idx="31">
                  <c:v>51.035404282346356</c:v>
                </c:pt>
                <c:pt idx="32">
                  <c:v>51.077168357330123</c:v>
                </c:pt>
                <c:pt idx="33">
                  <c:v>51.104139527667591</c:v>
                </c:pt>
                <c:pt idx="34">
                  <c:v>51.117119402045397</c:v>
                </c:pt>
                <c:pt idx="35">
                  <c:v>51.120357431582434</c:v>
                </c:pt>
                <c:pt idx="36">
                  <c:v>51.121001446660728</c:v>
                </c:pt>
                <c:pt idx="37">
                  <c:v>51.127453537275692</c:v>
                </c:pt>
                <c:pt idx="38">
                  <c:v>51.142328249050856</c:v>
                </c:pt>
                <c:pt idx="39">
                  <c:v>51.16466013918771</c:v>
                </c:pt>
                <c:pt idx="40">
                  <c:v>51.190227035336029</c:v>
                </c:pt>
                <c:pt idx="41">
                  <c:v>51.21107112904469</c:v>
                </c:pt>
                <c:pt idx="42">
                  <c:v>51.22417349524062</c:v>
                </c:pt>
                <c:pt idx="43">
                  <c:v>51.228187470648081</c:v>
                </c:pt>
                <c:pt idx="44">
                  <c:v>51.225268350561777</c:v>
                </c:pt>
                <c:pt idx="45">
                  <c:v>51.220036332891759</c:v>
                </c:pt>
                <c:pt idx="46">
                  <c:v>51.220745362154588</c:v>
                </c:pt>
                <c:pt idx="47">
                  <c:v>51.233038326633903</c:v>
                </c:pt>
                <c:pt idx="48">
                  <c:v>51.259009183973426</c:v>
                </c:pt>
                <c:pt idx="49">
                  <c:v>51.296963994083448</c:v>
                </c:pt>
                <c:pt idx="50">
                  <c:v>51.342098206085424</c:v>
                </c:pt>
                <c:pt idx="51">
                  <c:v>51.385327693569437</c:v>
                </c:pt>
                <c:pt idx="52">
                  <c:v>51.422357762640331</c:v>
                </c:pt>
                <c:pt idx="53">
                  <c:v>51.450893564308977</c:v>
                </c:pt>
                <c:pt idx="54">
                  <c:v>51.471414680285825</c:v>
                </c:pt>
                <c:pt idx="55">
                  <c:v>51.483516236793257</c:v>
                </c:pt>
                <c:pt idx="56">
                  <c:v>51.48463777153377</c:v>
                </c:pt>
                <c:pt idx="57">
                  <c:v>51.473171491947021</c:v>
                </c:pt>
                <c:pt idx="58">
                  <c:v>51.448306130732561</c:v>
                </c:pt>
                <c:pt idx="59">
                  <c:v>51.411573402885182</c:v>
                </c:pt>
                <c:pt idx="60">
                  <c:v>51.366194346589701</c:v>
                </c:pt>
                <c:pt idx="61">
                  <c:v>51.313044979298738</c:v>
                </c:pt>
                <c:pt idx="62">
                  <c:v>51.253700563956635</c:v>
                </c:pt>
                <c:pt idx="63">
                  <c:v>51.191485907536382</c:v>
                </c:pt>
                <c:pt idx="64">
                  <c:v>51.129448159030943</c:v>
                </c:pt>
                <c:pt idx="65">
                  <c:v>51.070214336426581</c:v>
                </c:pt>
                <c:pt idx="66">
                  <c:v>51.017714947205917</c:v>
                </c:pt>
                <c:pt idx="67">
                  <c:v>50.976951045217803</c:v>
                </c:pt>
                <c:pt idx="68">
                  <c:v>50.951139714451486</c:v>
                </c:pt>
                <c:pt idx="69">
                  <c:v>50.939001545098904</c:v>
                </c:pt>
                <c:pt idx="70">
                  <c:v>50.940880690803581</c:v>
                </c:pt>
                <c:pt idx="71">
                  <c:v>50.953819688306339</c:v>
                </c:pt>
                <c:pt idx="72">
                  <c:v>50.973299165361894</c:v>
                </c:pt>
                <c:pt idx="73">
                  <c:v>50.995061892474617</c:v>
                </c:pt>
                <c:pt idx="74">
                  <c:v>51.017421258201473</c:v>
                </c:pt>
                <c:pt idx="75">
                  <c:v>51.040757770899418</c:v>
                </c:pt>
                <c:pt idx="76">
                  <c:v>51.06753589565438</c:v>
                </c:pt>
                <c:pt idx="77">
                  <c:v>51.099548131904498</c:v>
                </c:pt>
                <c:pt idx="78">
                  <c:v>51.13914642691352</c:v>
                </c:pt>
                <c:pt idx="79">
                  <c:v>51.184717582155244</c:v>
                </c:pt>
                <c:pt idx="80">
                  <c:v>51.234318800920413</c:v>
                </c:pt>
                <c:pt idx="81">
                  <c:v>51.284281783008055</c:v>
                </c:pt>
                <c:pt idx="82">
                  <c:v>51.332004374670404</c:v>
                </c:pt>
                <c:pt idx="83">
                  <c:v>51.379661876552085</c:v>
                </c:pt>
                <c:pt idx="84">
                  <c:v>51.428863054181726</c:v>
                </c:pt>
                <c:pt idx="85">
                  <c:v>51.477781526013281</c:v>
                </c:pt>
                <c:pt idx="86">
                  <c:v>51.524818037476599</c:v>
                </c:pt>
                <c:pt idx="87">
                  <c:v>51.569829323070103</c:v>
                </c:pt>
                <c:pt idx="88">
                  <c:v>51.613023650555689</c:v>
                </c:pt>
                <c:pt idx="89">
                  <c:v>51.654260714241751</c:v>
                </c:pt>
                <c:pt idx="90">
                  <c:v>51.695751663521676</c:v>
                </c:pt>
                <c:pt idx="91">
                  <c:v>51.744765684267044</c:v>
                </c:pt>
                <c:pt idx="92">
                  <c:v>51.806450394706722</c:v>
                </c:pt>
                <c:pt idx="93">
                  <c:v>51.877470879443074</c:v>
                </c:pt>
                <c:pt idx="94">
                  <c:v>51.95385375604063</c:v>
                </c:pt>
                <c:pt idx="95">
                  <c:v>52.032283551046824</c:v>
                </c:pt>
                <c:pt idx="96">
                  <c:v>52.108718275297562</c:v>
                </c:pt>
                <c:pt idx="97">
                  <c:v>52.179710998283959</c:v>
                </c:pt>
                <c:pt idx="98">
                  <c:v>52.245141964124869</c:v>
                </c:pt>
                <c:pt idx="99">
                  <c:v>52.307561655522811</c:v>
                </c:pt>
                <c:pt idx="100">
                  <c:v>52.368601314161189</c:v>
                </c:pt>
                <c:pt idx="101">
                  <c:v>52.428969880886306</c:v>
                </c:pt>
                <c:pt idx="102">
                  <c:v>52.488466165795444</c:v>
                </c:pt>
                <c:pt idx="103">
                  <c:v>52.549194024198748</c:v>
                </c:pt>
                <c:pt idx="104">
                  <c:v>52.615604313223308</c:v>
                </c:pt>
                <c:pt idx="105">
                  <c:v>52.691041762767675</c:v>
                </c:pt>
                <c:pt idx="106">
                  <c:v>52.773285772291118</c:v>
                </c:pt>
                <c:pt idx="107">
                  <c:v>52.856659908375235</c:v>
                </c:pt>
                <c:pt idx="108">
                  <c:v>52.924098164953584</c:v>
                </c:pt>
                <c:pt idx="109">
                  <c:v>52.984202863148163</c:v>
                </c:pt>
                <c:pt idx="110">
                  <c:v>53.046040962161946</c:v>
                </c:pt>
                <c:pt idx="111">
                  <c:v>53.109985039192942</c:v>
                </c:pt>
                <c:pt idx="112">
                  <c:v>53.17516872526361</c:v>
                </c:pt>
                <c:pt idx="113">
                  <c:v>53.240732524587905</c:v>
                </c:pt>
                <c:pt idx="114">
                  <c:v>53.306121780206674</c:v>
                </c:pt>
                <c:pt idx="115">
                  <c:v>53.371077596839747</c:v>
                </c:pt>
                <c:pt idx="116">
                  <c:v>53.435550509917107</c:v>
                </c:pt>
                <c:pt idx="117">
                  <c:v>53.499434976901036</c:v>
                </c:pt>
                <c:pt idx="118">
                  <c:v>53.562494004405558</c:v>
                </c:pt>
                <c:pt idx="119">
                  <c:v>53.624347425884586</c:v>
                </c:pt>
                <c:pt idx="120">
                  <c:v>53.684862430278251</c:v>
                </c:pt>
                <c:pt idx="121">
                  <c:v>53.744340012989561</c:v>
                </c:pt>
                <c:pt idx="122">
                  <c:v>53.803179146081604</c:v>
                </c:pt>
              </c:numCache>
            </c:numRef>
          </c:val>
          <c:smooth val="0"/>
        </c:ser>
        <c:ser>
          <c:idx val="0"/>
          <c:order val="2"/>
          <c:tx>
            <c:v>1901-2000 Mean = 51.2 F</c:v>
          </c:tx>
          <c:spPr>
            <a:ln w="9525">
              <a:solidFill>
                <a:schemeClr val="tx1"/>
              </a:solidFill>
              <a:prstDash val="lgDash"/>
            </a:ln>
          </c:spPr>
          <c:marker>
            <c:symbol val="none"/>
          </c:marker>
          <c:val>
            <c:numRef>
              <c:f>'Data -- PA Temp'!$I$12:$I$133</c:f>
              <c:numCache>
                <c:formatCode>General</c:formatCode>
                <c:ptCount val="122"/>
                <c:pt idx="0">
                  <c:v>51.185999999999986</c:v>
                </c:pt>
                <c:pt idx="1">
                  <c:v>51.185999999999986</c:v>
                </c:pt>
                <c:pt idx="2">
                  <c:v>51.185999999999986</c:v>
                </c:pt>
                <c:pt idx="3">
                  <c:v>51.185999999999986</c:v>
                </c:pt>
                <c:pt idx="4">
                  <c:v>51.185999999999986</c:v>
                </c:pt>
                <c:pt idx="5">
                  <c:v>51.185999999999986</c:v>
                </c:pt>
                <c:pt idx="6">
                  <c:v>51.185999999999986</c:v>
                </c:pt>
                <c:pt idx="7">
                  <c:v>51.185999999999986</c:v>
                </c:pt>
                <c:pt idx="8">
                  <c:v>51.185999999999986</c:v>
                </c:pt>
                <c:pt idx="9">
                  <c:v>51.185999999999986</c:v>
                </c:pt>
                <c:pt idx="10">
                  <c:v>51.185999999999986</c:v>
                </c:pt>
                <c:pt idx="11">
                  <c:v>51.185999999999986</c:v>
                </c:pt>
                <c:pt idx="12">
                  <c:v>51.185999999999986</c:v>
                </c:pt>
                <c:pt idx="13">
                  <c:v>51.185999999999986</c:v>
                </c:pt>
                <c:pt idx="14">
                  <c:v>51.185999999999986</c:v>
                </c:pt>
                <c:pt idx="15">
                  <c:v>51.185999999999986</c:v>
                </c:pt>
                <c:pt idx="16">
                  <c:v>51.185999999999986</c:v>
                </c:pt>
                <c:pt idx="17">
                  <c:v>51.185999999999986</c:v>
                </c:pt>
                <c:pt idx="18">
                  <c:v>51.185999999999986</c:v>
                </c:pt>
                <c:pt idx="19">
                  <c:v>51.185999999999986</c:v>
                </c:pt>
                <c:pt idx="20">
                  <c:v>51.185999999999986</c:v>
                </c:pt>
                <c:pt idx="21">
                  <c:v>51.185999999999986</c:v>
                </c:pt>
                <c:pt idx="22">
                  <c:v>51.185999999999986</c:v>
                </c:pt>
                <c:pt idx="23">
                  <c:v>51.185999999999986</c:v>
                </c:pt>
                <c:pt idx="24">
                  <c:v>51.185999999999986</c:v>
                </c:pt>
                <c:pt idx="25">
                  <c:v>51.185999999999986</c:v>
                </c:pt>
                <c:pt idx="26">
                  <c:v>51.185999999999986</c:v>
                </c:pt>
                <c:pt idx="27">
                  <c:v>51.185999999999986</c:v>
                </c:pt>
                <c:pt idx="28">
                  <c:v>51.185999999999986</c:v>
                </c:pt>
                <c:pt idx="29">
                  <c:v>51.185999999999986</c:v>
                </c:pt>
                <c:pt idx="30">
                  <c:v>51.185999999999986</c:v>
                </c:pt>
                <c:pt idx="31">
                  <c:v>51.185999999999986</c:v>
                </c:pt>
                <c:pt idx="32">
                  <c:v>51.185999999999986</c:v>
                </c:pt>
                <c:pt idx="33">
                  <c:v>51.185999999999986</c:v>
                </c:pt>
                <c:pt idx="34">
                  <c:v>51.185999999999986</c:v>
                </c:pt>
                <c:pt idx="35">
                  <c:v>51.185999999999986</c:v>
                </c:pt>
                <c:pt idx="36">
                  <c:v>51.185999999999986</c:v>
                </c:pt>
                <c:pt idx="37">
                  <c:v>51.185999999999986</c:v>
                </c:pt>
                <c:pt idx="38">
                  <c:v>51.185999999999986</c:v>
                </c:pt>
                <c:pt idx="39">
                  <c:v>51.185999999999986</c:v>
                </c:pt>
                <c:pt idx="40">
                  <c:v>51.185999999999986</c:v>
                </c:pt>
                <c:pt idx="41">
                  <c:v>51.185999999999986</c:v>
                </c:pt>
                <c:pt idx="42">
                  <c:v>51.185999999999986</c:v>
                </c:pt>
                <c:pt idx="43">
                  <c:v>51.185999999999986</c:v>
                </c:pt>
                <c:pt idx="44">
                  <c:v>51.185999999999986</c:v>
                </c:pt>
                <c:pt idx="45">
                  <c:v>51.185999999999986</c:v>
                </c:pt>
                <c:pt idx="46">
                  <c:v>51.185999999999986</c:v>
                </c:pt>
                <c:pt idx="47">
                  <c:v>51.185999999999986</c:v>
                </c:pt>
                <c:pt idx="48">
                  <c:v>51.185999999999986</c:v>
                </c:pt>
                <c:pt idx="49">
                  <c:v>51.185999999999986</c:v>
                </c:pt>
                <c:pt idx="50">
                  <c:v>51.185999999999986</c:v>
                </c:pt>
                <c:pt idx="51">
                  <c:v>51.185999999999986</c:v>
                </c:pt>
                <c:pt idx="52">
                  <c:v>51.185999999999986</c:v>
                </c:pt>
                <c:pt idx="53">
                  <c:v>51.185999999999986</c:v>
                </c:pt>
                <c:pt idx="54">
                  <c:v>51.185999999999986</c:v>
                </c:pt>
                <c:pt idx="55">
                  <c:v>51.185999999999986</c:v>
                </c:pt>
                <c:pt idx="56">
                  <c:v>51.185999999999986</c:v>
                </c:pt>
                <c:pt idx="57">
                  <c:v>51.185999999999986</c:v>
                </c:pt>
                <c:pt idx="58">
                  <c:v>51.185999999999986</c:v>
                </c:pt>
                <c:pt idx="59">
                  <c:v>51.185999999999986</c:v>
                </c:pt>
                <c:pt idx="60">
                  <c:v>51.185999999999986</c:v>
                </c:pt>
                <c:pt idx="61">
                  <c:v>51.185999999999986</c:v>
                </c:pt>
                <c:pt idx="62">
                  <c:v>51.185999999999986</c:v>
                </c:pt>
                <c:pt idx="63">
                  <c:v>51.185999999999986</c:v>
                </c:pt>
                <c:pt idx="64">
                  <c:v>51.185999999999986</c:v>
                </c:pt>
                <c:pt idx="65">
                  <c:v>51.185999999999986</c:v>
                </c:pt>
                <c:pt idx="66">
                  <c:v>51.185999999999986</c:v>
                </c:pt>
                <c:pt idx="67">
                  <c:v>51.185999999999986</c:v>
                </c:pt>
                <c:pt idx="68">
                  <c:v>51.185999999999986</c:v>
                </c:pt>
                <c:pt idx="69">
                  <c:v>51.185999999999986</c:v>
                </c:pt>
                <c:pt idx="70">
                  <c:v>51.185999999999986</c:v>
                </c:pt>
                <c:pt idx="71">
                  <c:v>51.185999999999986</c:v>
                </c:pt>
                <c:pt idx="72">
                  <c:v>51.185999999999986</c:v>
                </c:pt>
                <c:pt idx="73">
                  <c:v>51.185999999999986</c:v>
                </c:pt>
                <c:pt idx="74">
                  <c:v>51.185999999999986</c:v>
                </c:pt>
                <c:pt idx="75">
                  <c:v>51.185999999999986</c:v>
                </c:pt>
                <c:pt idx="76">
                  <c:v>51.185999999999986</c:v>
                </c:pt>
                <c:pt idx="77">
                  <c:v>51.185999999999986</c:v>
                </c:pt>
                <c:pt idx="78">
                  <c:v>51.185999999999986</c:v>
                </c:pt>
                <c:pt idx="79">
                  <c:v>51.185999999999986</c:v>
                </c:pt>
                <c:pt idx="80">
                  <c:v>51.185999999999986</c:v>
                </c:pt>
                <c:pt idx="81">
                  <c:v>51.185999999999986</c:v>
                </c:pt>
                <c:pt idx="82">
                  <c:v>51.185999999999986</c:v>
                </c:pt>
                <c:pt idx="83">
                  <c:v>51.185999999999986</c:v>
                </c:pt>
                <c:pt idx="84">
                  <c:v>51.185999999999986</c:v>
                </c:pt>
                <c:pt idx="85">
                  <c:v>51.185999999999986</c:v>
                </c:pt>
                <c:pt idx="86">
                  <c:v>51.185999999999986</c:v>
                </c:pt>
                <c:pt idx="87">
                  <c:v>51.185999999999986</c:v>
                </c:pt>
                <c:pt idx="88">
                  <c:v>51.185999999999986</c:v>
                </c:pt>
                <c:pt idx="89">
                  <c:v>51.185999999999986</c:v>
                </c:pt>
                <c:pt idx="90">
                  <c:v>51.185999999999986</c:v>
                </c:pt>
                <c:pt idx="91">
                  <c:v>51.185999999999986</c:v>
                </c:pt>
                <c:pt idx="92">
                  <c:v>51.185999999999986</c:v>
                </c:pt>
                <c:pt idx="93">
                  <c:v>51.185999999999986</c:v>
                </c:pt>
                <c:pt idx="94">
                  <c:v>51.185999999999986</c:v>
                </c:pt>
                <c:pt idx="95">
                  <c:v>51.185999999999986</c:v>
                </c:pt>
                <c:pt idx="96">
                  <c:v>51.185999999999986</c:v>
                </c:pt>
                <c:pt idx="97">
                  <c:v>51.185999999999986</c:v>
                </c:pt>
                <c:pt idx="98">
                  <c:v>51.185999999999986</c:v>
                </c:pt>
                <c:pt idx="99">
                  <c:v>51.185999999999986</c:v>
                </c:pt>
                <c:pt idx="100">
                  <c:v>51.185999999999986</c:v>
                </c:pt>
                <c:pt idx="101">
                  <c:v>51.185999999999986</c:v>
                </c:pt>
                <c:pt idx="102">
                  <c:v>51.185999999999986</c:v>
                </c:pt>
                <c:pt idx="103">
                  <c:v>51.185999999999986</c:v>
                </c:pt>
                <c:pt idx="104">
                  <c:v>51.185999999999986</c:v>
                </c:pt>
                <c:pt idx="105">
                  <c:v>51.185999999999986</c:v>
                </c:pt>
                <c:pt idx="106">
                  <c:v>51.185999999999986</c:v>
                </c:pt>
                <c:pt idx="107">
                  <c:v>51.185999999999986</c:v>
                </c:pt>
                <c:pt idx="108">
                  <c:v>51.185999999999986</c:v>
                </c:pt>
                <c:pt idx="109">
                  <c:v>51.185999999999986</c:v>
                </c:pt>
                <c:pt idx="110">
                  <c:v>51.185999999999986</c:v>
                </c:pt>
                <c:pt idx="111">
                  <c:v>51.185999999999986</c:v>
                </c:pt>
                <c:pt idx="112">
                  <c:v>51.185999999999986</c:v>
                </c:pt>
                <c:pt idx="113">
                  <c:v>51.185999999999986</c:v>
                </c:pt>
                <c:pt idx="114">
                  <c:v>51.185999999999986</c:v>
                </c:pt>
                <c:pt idx="115">
                  <c:v>51.185999999999986</c:v>
                </c:pt>
                <c:pt idx="116">
                  <c:v>51.185999999999986</c:v>
                </c:pt>
                <c:pt idx="117">
                  <c:v>51.185999999999986</c:v>
                </c:pt>
                <c:pt idx="118">
                  <c:v>51.185999999999986</c:v>
                </c:pt>
                <c:pt idx="119">
                  <c:v>51.185999999999986</c:v>
                </c:pt>
                <c:pt idx="120">
                  <c:v>51.185999999999986</c:v>
                </c:pt>
                <c:pt idx="121">
                  <c:v>51.185999999999986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47488"/>
        <c:axId val="121649024"/>
      </c:lineChart>
      <c:catAx>
        <c:axId val="12164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1649024"/>
        <c:crosses val="autoZero"/>
        <c:auto val="1"/>
        <c:lblAlgn val="ctr"/>
        <c:lblOffset val="100"/>
        <c:tickLblSkip val="5"/>
        <c:noMultiLvlLbl val="0"/>
      </c:catAx>
      <c:valAx>
        <c:axId val="121649024"/>
        <c:scaling>
          <c:orientation val="minMax"/>
          <c:max val="56"/>
          <c:min val="4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Average Annual Temperature</a:t>
                </a:r>
                <a:r>
                  <a:rPr lang="en-US" sz="1600" baseline="0"/>
                  <a:t> °F</a:t>
                </a:r>
                <a:endParaRPr lang="en-US" sz="1600"/>
              </a:p>
            </c:rich>
          </c:tx>
          <c:layout>
            <c:manualLayout>
              <c:xMode val="edge"/>
              <c:yMode val="edge"/>
              <c:x val="9.4893332337077901E-3"/>
              <c:y val="0.2601119860017497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1647488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17423630263268974"/>
          <c:y val="0.12116503618865823"/>
          <c:w val="0.44633668822743627"/>
          <c:h val="0.16137373737373736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143211799021393E-2"/>
          <c:y val="2.0409130676847211E-2"/>
          <c:w val="0.87933502488887116"/>
          <c:h val="0.91064821442774202"/>
        </c:manualLayout>
      </c:layout>
      <c:lineChart>
        <c:grouping val="standard"/>
        <c:varyColors val="0"/>
        <c:ser>
          <c:idx val="1"/>
          <c:order val="0"/>
          <c:tx>
            <c:v>Average Annual Temperature</c:v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none"/>
          </c:marker>
          <c:cat>
            <c:numRef>
              <c:f>'Data -- PA Temp'!$F$11:$F$133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-- NJ Temp'!$D$9:$D$131</c:f>
              <c:numCache>
                <c:formatCode>General</c:formatCode>
                <c:ptCount val="123"/>
                <c:pt idx="0">
                  <c:v>51</c:v>
                </c:pt>
                <c:pt idx="1">
                  <c:v>51.8</c:v>
                </c:pt>
                <c:pt idx="2">
                  <c:v>51.7</c:v>
                </c:pt>
                <c:pt idx="3">
                  <c:v>52.7</c:v>
                </c:pt>
                <c:pt idx="4">
                  <c:v>51.4</c:v>
                </c:pt>
                <c:pt idx="5">
                  <c:v>53.1</c:v>
                </c:pt>
                <c:pt idx="6">
                  <c:v>51</c:v>
                </c:pt>
                <c:pt idx="7">
                  <c:v>51.9</c:v>
                </c:pt>
                <c:pt idx="8">
                  <c:v>51.7</c:v>
                </c:pt>
                <c:pt idx="9">
                  <c:v>49.3</c:v>
                </c:pt>
                <c:pt idx="10">
                  <c:v>51.1</c:v>
                </c:pt>
                <c:pt idx="11">
                  <c:v>52.9</c:v>
                </c:pt>
                <c:pt idx="12">
                  <c:v>50.2</c:v>
                </c:pt>
                <c:pt idx="13">
                  <c:v>52.6</c:v>
                </c:pt>
                <c:pt idx="14">
                  <c:v>52</c:v>
                </c:pt>
                <c:pt idx="15">
                  <c:v>51.8</c:v>
                </c:pt>
                <c:pt idx="16">
                  <c:v>52.7</c:v>
                </c:pt>
                <c:pt idx="17">
                  <c:v>51.4</c:v>
                </c:pt>
                <c:pt idx="18">
                  <c:v>54.1</c:v>
                </c:pt>
                <c:pt idx="19">
                  <c:v>51.3</c:v>
                </c:pt>
                <c:pt idx="20">
                  <c:v>52.2</c:v>
                </c:pt>
                <c:pt idx="21">
                  <c:v>51.2</c:v>
                </c:pt>
                <c:pt idx="22">
                  <c:v>49.7</c:v>
                </c:pt>
                <c:pt idx="23">
                  <c:v>51.7</c:v>
                </c:pt>
                <c:pt idx="24">
                  <c:v>52.9</c:v>
                </c:pt>
                <c:pt idx="25">
                  <c:v>51.4</c:v>
                </c:pt>
                <c:pt idx="26">
                  <c:v>54.3</c:v>
                </c:pt>
                <c:pt idx="27">
                  <c:v>52.7</c:v>
                </c:pt>
                <c:pt idx="28">
                  <c:v>52</c:v>
                </c:pt>
                <c:pt idx="29">
                  <c:v>50.7</c:v>
                </c:pt>
                <c:pt idx="30">
                  <c:v>52.5</c:v>
                </c:pt>
                <c:pt idx="31">
                  <c:v>50.3</c:v>
                </c:pt>
                <c:pt idx="32">
                  <c:v>52.2</c:v>
                </c:pt>
                <c:pt idx="33">
                  <c:v>52</c:v>
                </c:pt>
                <c:pt idx="34">
                  <c:v>52.6</c:v>
                </c:pt>
                <c:pt idx="35">
                  <c:v>53</c:v>
                </c:pt>
                <c:pt idx="36">
                  <c:v>54.5</c:v>
                </c:pt>
                <c:pt idx="37">
                  <c:v>53.5</c:v>
                </c:pt>
                <c:pt idx="38">
                  <c:v>53.2</c:v>
                </c:pt>
                <c:pt idx="39">
                  <c:v>51.7</c:v>
                </c:pt>
                <c:pt idx="40">
                  <c:v>51.7</c:v>
                </c:pt>
                <c:pt idx="41">
                  <c:v>52.2</c:v>
                </c:pt>
                <c:pt idx="42">
                  <c:v>52.8</c:v>
                </c:pt>
                <c:pt idx="43">
                  <c:v>53.4</c:v>
                </c:pt>
                <c:pt idx="44">
                  <c:v>53.1</c:v>
                </c:pt>
                <c:pt idx="45">
                  <c:v>50.1</c:v>
                </c:pt>
                <c:pt idx="46">
                  <c:v>53.2</c:v>
                </c:pt>
                <c:pt idx="47">
                  <c:v>52.8</c:v>
                </c:pt>
                <c:pt idx="48">
                  <c:v>52.3</c:v>
                </c:pt>
                <c:pt idx="49">
                  <c:v>52.7</c:v>
                </c:pt>
                <c:pt idx="50">
                  <c:v>52.9</c:v>
                </c:pt>
                <c:pt idx="51">
                  <c:v>53.9</c:v>
                </c:pt>
                <c:pt idx="52">
                  <c:v>52.4</c:v>
                </c:pt>
                <c:pt idx="53">
                  <c:v>52.5</c:v>
                </c:pt>
                <c:pt idx="54">
                  <c:v>55</c:v>
                </c:pt>
                <c:pt idx="55">
                  <c:v>52.4</c:v>
                </c:pt>
                <c:pt idx="56">
                  <c:v>53.4</c:v>
                </c:pt>
                <c:pt idx="57">
                  <c:v>53.7</c:v>
                </c:pt>
                <c:pt idx="58">
                  <c:v>54.7</c:v>
                </c:pt>
                <c:pt idx="59">
                  <c:v>53.5</c:v>
                </c:pt>
                <c:pt idx="60">
                  <c:v>53.2</c:v>
                </c:pt>
                <c:pt idx="61">
                  <c:v>52.6</c:v>
                </c:pt>
                <c:pt idx="62">
                  <c:v>53.7</c:v>
                </c:pt>
                <c:pt idx="63">
                  <c:v>51.3</c:v>
                </c:pt>
                <c:pt idx="64">
                  <c:v>54.2</c:v>
                </c:pt>
                <c:pt idx="65">
                  <c:v>52.3</c:v>
                </c:pt>
                <c:pt idx="66">
                  <c:v>52.7</c:v>
                </c:pt>
                <c:pt idx="67">
                  <c:v>51.4</c:v>
                </c:pt>
                <c:pt idx="68">
                  <c:v>51.7</c:v>
                </c:pt>
                <c:pt idx="69">
                  <c:v>52.9</c:v>
                </c:pt>
                <c:pt idx="70">
                  <c:v>52.2</c:v>
                </c:pt>
                <c:pt idx="71">
                  <c:v>52.2</c:v>
                </c:pt>
                <c:pt idx="72">
                  <c:v>51.5</c:v>
                </c:pt>
                <c:pt idx="73">
                  <c:v>52.6</c:v>
                </c:pt>
                <c:pt idx="74">
                  <c:v>52.4</c:v>
                </c:pt>
                <c:pt idx="75">
                  <c:v>52.7</c:v>
                </c:pt>
                <c:pt idx="76">
                  <c:v>53.3</c:v>
                </c:pt>
                <c:pt idx="77">
                  <c:v>52.2</c:v>
                </c:pt>
                <c:pt idx="78">
                  <c:v>54.6</c:v>
                </c:pt>
                <c:pt idx="79">
                  <c:v>53.4</c:v>
                </c:pt>
                <c:pt idx="80">
                  <c:v>54</c:v>
                </c:pt>
                <c:pt idx="81">
                  <c:v>52.5</c:v>
                </c:pt>
                <c:pt idx="82">
                  <c:v>53.2</c:v>
                </c:pt>
                <c:pt idx="83">
                  <c:v>51.5</c:v>
                </c:pt>
                <c:pt idx="84">
                  <c:v>52.7</c:v>
                </c:pt>
                <c:pt idx="85">
                  <c:v>52.9</c:v>
                </c:pt>
                <c:pt idx="86">
                  <c:v>52.6</c:v>
                </c:pt>
                <c:pt idx="87">
                  <c:v>52.6</c:v>
                </c:pt>
                <c:pt idx="88">
                  <c:v>53.8</c:v>
                </c:pt>
                <c:pt idx="89">
                  <c:v>53.4</c:v>
                </c:pt>
                <c:pt idx="90">
                  <c:v>53.8</c:v>
                </c:pt>
                <c:pt idx="91">
                  <c:v>53.6</c:v>
                </c:pt>
                <c:pt idx="92">
                  <c:v>53.5</c:v>
                </c:pt>
                <c:pt idx="93">
                  <c:v>52.7</c:v>
                </c:pt>
                <c:pt idx="94">
                  <c:v>52.7</c:v>
                </c:pt>
                <c:pt idx="95">
                  <c:v>55.7</c:v>
                </c:pt>
                <c:pt idx="96">
                  <c:v>55.5</c:v>
                </c:pt>
                <c:pt idx="97">
                  <c:v>52.4</c:v>
                </c:pt>
                <c:pt idx="98">
                  <c:v>53.5</c:v>
                </c:pt>
                <c:pt idx="99">
                  <c:v>53.5</c:v>
                </c:pt>
                <c:pt idx="100">
                  <c:v>53.7</c:v>
                </c:pt>
                <c:pt idx="101">
                  <c:v>52.7</c:v>
                </c:pt>
                <c:pt idx="102">
                  <c:v>53.3</c:v>
                </c:pt>
                <c:pt idx="103">
                  <c:v>56.3</c:v>
                </c:pt>
                <c:pt idx="104">
                  <c:v>55.2</c:v>
                </c:pt>
                <c:pt idx="105">
                  <c:v>53.5</c:v>
                </c:pt>
                <c:pt idx="106">
                  <c:v>54.8</c:v>
                </c:pt>
                <c:pt idx="107">
                  <c:v>55.5</c:v>
                </c:pt>
                <c:pt idx="108">
                  <c:v>53.1</c:v>
                </c:pt>
                <c:pt idx="109">
                  <c:v>54.3</c:v>
                </c:pt>
                <c:pt idx="110">
                  <c:v>54.6</c:v>
                </c:pt>
                <c:pt idx="111">
                  <c:v>56.2</c:v>
                </c:pt>
                <c:pt idx="112">
                  <c:v>55</c:v>
                </c:pt>
                <c:pt idx="113">
                  <c:v>55</c:v>
                </c:pt>
                <c:pt idx="114">
                  <c:v>54</c:v>
                </c:pt>
                <c:pt idx="115">
                  <c:v>55.8</c:v>
                </c:pt>
                <c:pt idx="116">
                  <c:v>56.2</c:v>
                </c:pt>
                <c:pt idx="117">
                  <c:v>57</c:v>
                </c:pt>
                <c:pt idx="118">
                  <c:v>54.3</c:v>
                </c:pt>
                <c:pt idx="119">
                  <c:v>53.1</c:v>
                </c:pt>
                <c:pt idx="120">
                  <c:v>55.2</c:v>
                </c:pt>
                <c:pt idx="121">
                  <c:v>56.1</c:v>
                </c:pt>
                <c:pt idx="122">
                  <c:v>55.9</c:v>
                </c:pt>
              </c:numCache>
            </c:numRef>
          </c:val>
          <c:smooth val="0"/>
        </c:ser>
        <c:ser>
          <c:idx val="2"/>
          <c:order val="1"/>
          <c:tx>
            <c:v>Trend -- Moving 30 Year Average</c:v>
          </c:tx>
          <c:spPr>
            <a:ln w="571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'Data -- PA Temp'!$F$11:$F$133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-- NJ Temp'!$F$9:$F$131</c:f>
              <c:numCache>
                <c:formatCode>General</c:formatCode>
                <c:ptCount val="123"/>
                <c:pt idx="0">
                  <c:v>51.600398847932553</c:v>
                </c:pt>
                <c:pt idx="1">
                  <c:v>51.610358342232104</c:v>
                </c:pt>
                <c:pt idx="2">
                  <c:v>51.621115398920672</c:v>
                </c:pt>
                <c:pt idx="3">
                  <c:v>51.632861568980111</c:v>
                </c:pt>
                <c:pt idx="4">
                  <c:v>51.6457208276817</c:v>
                </c:pt>
                <c:pt idx="5">
                  <c:v>51.659632838360899</c:v>
                </c:pt>
                <c:pt idx="6">
                  <c:v>51.674430073009241</c:v>
                </c:pt>
                <c:pt idx="7">
                  <c:v>51.689683573143881</c:v>
                </c:pt>
                <c:pt idx="8">
                  <c:v>51.704863692020226</c:v>
                </c:pt>
                <c:pt idx="9">
                  <c:v>51.719256970413795</c:v>
                </c:pt>
                <c:pt idx="10">
                  <c:v>51.731980564856883</c:v>
                </c:pt>
                <c:pt idx="11">
                  <c:v>51.74232810044191</c:v>
                </c:pt>
                <c:pt idx="12">
                  <c:v>51.749616515943295</c:v>
                </c:pt>
                <c:pt idx="13">
                  <c:v>51.752925554577658</c:v>
                </c:pt>
                <c:pt idx="14">
                  <c:v>51.752709277769483</c:v>
                </c:pt>
                <c:pt idx="15">
                  <c:v>51.757030391292709</c:v>
                </c:pt>
                <c:pt idx="16">
                  <c:v>51.787646318092712</c:v>
                </c:pt>
                <c:pt idx="17">
                  <c:v>51.829598222653964</c:v>
                </c:pt>
                <c:pt idx="18">
                  <c:v>51.876621679616477</c:v>
                </c:pt>
                <c:pt idx="19">
                  <c:v>51.920710005047596</c:v>
                </c:pt>
                <c:pt idx="20">
                  <c:v>51.95417663811412</c:v>
                </c:pt>
                <c:pt idx="21">
                  <c:v>51.973925051933819</c:v>
                </c:pt>
                <c:pt idx="22">
                  <c:v>51.979952088243842</c:v>
                </c:pt>
                <c:pt idx="23">
                  <c:v>51.977821705923489</c:v>
                </c:pt>
                <c:pt idx="24">
                  <c:v>51.979986194418792</c:v>
                </c:pt>
                <c:pt idx="25">
                  <c:v>51.994877084855943</c:v>
                </c:pt>
                <c:pt idx="26">
                  <c:v>52.025051852942461</c:v>
                </c:pt>
                <c:pt idx="27">
                  <c:v>52.070371707417635</c:v>
                </c:pt>
                <c:pt idx="28">
                  <c:v>52.125099485705945</c:v>
                </c:pt>
                <c:pt idx="29">
                  <c:v>52.183540734640204</c:v>
                </c:pt>
                <c:pt idx="30">
                  <c:v>52.2422939083242</c:v>
                </c:pt>
                <c:pt idx="31">
                  <c:v>52.299491578198428</c:v>
                </c:pt>
                <c:pt idx="32">
                  <c:v>52.35199743602292</c:v>
                </c:pt>
                <c:pt idx="33">
                  <c:v>52.391992970707129</c:v>
                </c:pt>
                <c:pt idx="34">
                  <c:v>52.418798293934749</c:v>
                </c:pt>
                <c:pt idx="35">
                  <c:v>52.435795817052956</c:v>
                </c:pt>
                <c:pt idx="36">
                  <c:v>52.449581850232825</c:v>
                </c:pt>
                <c:pt idx="37">
                  <c:v>52.46830542411486</c:v>
                </c:pt>
                <c:pt idx="38">
                  <c:v>52.495590996201571</c:v>
                </c:pt>
                <c:pt idx="39">
                  <c:v>52.531390752902745</c:v>
                </c:pt>
                <c:pt idx="40">
                  <c:v>52.571417204350908</c:v>
                </c:pt>
                <c:pt idx="41">
                  <c:v>52.607843221634511</c:v>
                </c:pt>
                <c:pt idx="42">
                  <c:v>52.63826590014969</c:v>
                </c:pt>
                <c:pt idx="43">
                  <c:v>52.662066824173174</c:v>
                </c:pt>
                <c:pt idx="44">
                  <c:v>52.68124569663</c:v>
                </c:pt>
                <c:pt idx="45">
                  <c:v>52.699089330253834</c:v>
                </c:pt>
                <c:pt idx="46">
                  <c:v>52.722928363746206</c:v>
                </c:pt>
                <c:pt idx="47">
                  <c:v>52.758044919038497</c:v>
                </c:pt>
                <c:pt idx="48">
                  <c:v>52.80620521272273</c:v>
                </c:pt>
                <c:pt idx="49">
                  <c:v>52.865349482578047</c:v>
                </c:pt>
                <c:pt idx="50">
                  <c:v>52.93059568788717</c:v>
                </c:pt>
                <c:pt idx="51">
                  <c:v>52.992891325374757</c:v>
                </c:pt>
                <c:pt idx="52">
                  <c:v>53.047528874110206</c:v>
                </c:pt>
                <c:pt idx="53">
                  <c:v>53.091759517968427</c:v>
                </c:pt>
                <c:pt idx="54">
                  <c:v>53.125865726663442</c:v>
                </c:pt>
                <c:pt idx="55">
                  <c:v>53.149062801790485</c:v>
                </c:pt>
                <c:pt idx="56">
                  <c:v>53.158830343152481</c:v>
                </c:pt>
                <c:pt idx="57">
                  <c:v>53.153688451756167</c:v>
                </c:pt>
                <c:pt idx="58">
                  <c:v>53.132506340238308</c:v>
                </c:pt>
                <c:pt idx="59">
                  <c:v>53.096401941739941</c:v>
                </c:pt>
                <c:pt idx="60">
                  <c:v>53.048613362285153</c:v>
                </c:pt>
                <c:pt idx="61">
                  <c:v>52.990395706137647</c:v>
                </c:pt>
                <c:pt idx="62">
                  <c:v>52.923760207787041</c:v>
                </c:pt>
                <c:pt idx="63">
                  <c:v>52.852857661915444</c:v>
                </c:pt>
                <c:pt idx="64">
                  <c:v>52.781798746807794</c:v>
                </c:pt>
                <c:pt idx="65">
                  <c:v>52.713854889173433</c:v>
                </c:pt>
                <c:pt idx="66">
                  <c:v>52.653757514342061</c:v>
                </c:pt>
                <c:pt idx="67">
                  <c:v>52.607375855006254</c:v>
                </c:pt>
                <c:pt idx="68">
                  <c:v>52.578352066809664</c:v>
                </c:pt>
                <c:pt idx="69">
                  <c:v>52.565455084121631</c:v>
                </c:pt>
                <c:pt idx="70">
                  <c:v>52.568524937203733</c:v>
                </c:pt>
                <c:pt idx="71">
                  <c:v>52.583494204364818</c:v>
                </c:pt>
                <c:pt idx="72">
                  <c:v>52.605248272531469</c:v>
                </c:pt>
                <c:pt idx="73">
                  <c:v>52.629269602113091</c:v>
                </c:pt>
                <c:pt idx="74">
                  <c:v>52.653826282122772</c:v>
                </c:pt>
                <c:pt idx="75">
                  <c:v>52.679397638758466</c:v>
                </c:pt>
                <c:pt idx="76">
                  <c:v>52.708789814336534</c:v>
                </c:pt>
                <c:pt idx="77">
                  <c:v>52.744186235502347</c:v>
                </c:pt>
                <c:pt idx="78">
                  <c:v>52.788023516882141</c:v>
                </c:pt>
                <c:pt idx="79">
                  <c:v>52.838539527891449</c:v>
                </c:pt>
                <c:pt idx="80">
                  <c:v>52.892806935641019</c:v>
                </c:pt>
                <c:pt idx="81">
                  <c:v>52.946234865739733</c:v>
                </c:pt>
                <c:pt idx="82">
                  <c:v>52.995908742068863</c:v>
                </c:pt>
                <c:pt idx="83">
                  <c:v>53.043514308439498</c:v>
                </c:pt>
                <c:pt idx="84">
                  <c:v>53.09016316970898</c:v>
                </c:pt>
                <c:pt idx="85">
                  <c:v>53.134177077641958</c:v>
                </c:pt>
                <c:pt idx="86">
                  <c:v>53.174722994455649</c:v>
                </c:pt>
                <c:pt idx="87">
                  <c:v>53.212868235620221</c:v>
                </c:pt>
                <c:pt idx="88">
                  <c:v>53.249840472020729</c:v>
                </c:pt>
                <c:pt idx="89">
                  <c:v>53.286563554234469</c:v>
                </c:pt>
                <c:pt idx="90">
                  <c:v>53.325493023009599</c:v>
                </c:pt>
                <c:pt idx="91">
                  <c:v>53.373244991648058</c:v>
                </c:pt>
                <c:pt idx="92">
                  <c:v>53.434477713663782</c:v>
                </c:pt>
                <c:pt idx="93">
                  <c:v>53.505824880859123</c:v>
                </c:pt>
                <c:pt idx="94">
                  <c:v>53.583377186863608</c:v>
                </c:pt>
                <c:pt idx="95">
                  <c:v>53.663851161565127</c:v>
                </c:pt>
                <c:pt idx="96">
                  <c:v>53.743038969041699</c:v>
                </c:pt>
                <c:pt idx="97">
                  <c:v>53.817053507193108</c:v>
                </c:pt>
                <c:pt idx="98">
                  <c:v>53.885527785169685</c:v>
                </c:pt>
                <c:pt idx="99">
                  <c:v>53.951071801089995</c:v>
                </c:pt>
                <c:pt idx="100">
                  <c:v>54.016008867447596</c:v>
                </c:pt>
                <c:pt idx="101">
                  <c:v>54.081984377716047</c:v>
                </c:pt>
                <c:pt idx="102">
                  <c:v>54.148835145583412</c:v>
                </c:pt>
                <c:pt idx="103">
                  <c:v>54.217711983006168</c:v>
                </c:pt>
                <c:pt idx="104">
                  <c:v>54.292318317426393</c:v>
                </c:pt>
                <c:pt idx="105">
                  <c:v>54.375437721457438</c:v>
                </c:pt>
                <c:pt idx="106">
                  <c:v>54.464537627746097</c:v>
                </c:pt>
                <c:pt idx="107">
                  <c:v>54.554610412383333</c:v>
                </c:pt>
                <c:pt idx="108">
                  <c:v>54.632545401607068</c:v>
                </c:pt>
                <c:pt idx="109">
                  <c:v>54.700472108628375</c:v>
                </c:pt>
                <c:pt idx="110">
                  <c:v>54.768097551243606</c:v>
                </c:pt>
                <c:pt idx="111">
                  <c:v>54.836997730883176</c:v>
                </c:pt>
                <c:pt idx="112">
                  <c:v>54.906945365287932</c:v>
                </c:pt>
                <c:pt idx="113">
                  <c:v>54.977402397895709</c:v>
                </c:pt>
                <c:pt idx="114">
                  <c:v>55.047950443061204</c:v>
                </c:pt>
                <c:pt idx="115">
                  <c:v>55.118342352136935</c:v>
                </c:pt>
                <c:pt idx="116">
                  <c:v>55.188509535649793</c:v>
                </c:pt>
                <c:pt idx="117">
                  <c:v>55.258310927300421</c:v>
                </c:pt>
                <c:pt idx="118">
                  <c:v>55.327434973532029</c:v>
                </c:pt>
                <c:pt idx="119">
                  <c:v>55.395419106919185</c:v>
                </c:pt>
                <c:pt idx="120">
                  <c:v>55.462056966416725</c:v>
                </c:pt>
                <c:pt idx="121">
                  <c:v>55.527561557342779</c:v>
                </c:pt>
                <c:pt idx="122">
                  <c:v>55.592237541859276</c:v>
                </c:pt>
              </c:numCache>
            </c:numRef>
          </c:val>
          <c:smooth val="0"/>
        </c:ser>
        <c:ser>
          <c:idx val="0"/>
          <c:order val="2"/>
          <c:tx>
            <c:v>1901-2000 Mean = 53.0 F</c:v>
          </c:tx>
          <c:spPr>
            <a:ln w="9525">
              <a:solidFill>
                <a:schemeClr val="tx1"/>
              </a:solidFill>
              <a:prstDash val="lgDash"/>
            </a:ln>
          </c:spPr>
          <c:marker>
            <c:symbol val="none"/>
          </c:marker>
          <c:val>
            <c:numRef>
              <c:f>'Data -- NJ Temp'!$G$9:$G$131</c:f>
              <c:numCache>
                <c:formatCode>General</c:formatCode>
                <c:ptCount val="123"/>
                <c:pt idx="0">
                  <c:v>52.997560975609751</c:v>
                </c:pt>
                <c:pt idx="1">
                  <c:v>52.997560975609751</c:v>
                </c:pt>
                <c:pt idx="2">
                  <c:v>52.997560975609751</c:v>
                </c:pt>
                <c:pt idx="3">
                  <c:v>52.997560975609751</c:v>
                </c:pt>
                <c:pt idx="4">
                  <c:v>52.997560975609751</c:v>
                </c:pt>
                <c:pt idx="5">
                  <c:v>52.997560975609751</c:v>
                </c:pt>
                <c:pt idx="6">
                  <c:v>52.997560975609751</c:v>
                </c:pt>
                <c:pt idx="7">
                  <c:v>52.997560975609751</c:v>
                </c:pt>
                <c:pt idx="8">
                  <c:v>52.997560975609751</c:v>
                </c:pt>
                <c:pt idx="9">
                  <c:v>52.997560975609751</c:v>
                </c:pt>
                <c:pt idx="10">
                  <c:v>52.997560975609751</c:v>
                </c:pt>
                <c:pt idx="11">
                  <c:v>52.997560975609751</c:v>
                </c:pt>
                <c:pt idx="12">
                  <c:v>52.997560975609751</c:v>
                </c:pt>
                <c:pt idx="13">
                  <c:v>52.997560975609751</c:v>
                </c:pt>
                <c:pt idx="14">
                  <c:v>52.997560975609751</c:v>
                </c:pt>
                <c:pt idx="15">
                  <c:v>52.997560975609751</c:v>
                </c:pt>
                <c:pt idx="16">
                  <c:v>52.997560975609751</c:v>
                </c:pt>
                <c:pt idx="17">
                  <c:v>52.997560975609751</c:v>
                </c:pt>
                <c:pt idx="18">
                  <c:v>52.997560975609751</c:v>
                </c:pt>
                <c:pt idx="19">
                  <c:v>52.997560975609751</c:v>
                </c:pt>
                <c:pt idx="20">
                  <c:v>52.997560975609751</c:v>
                </c:pt>
                <c:pt idx="21">
                  <c:v>52.997560975609751</c:v>
                </c:pt>
                <c:pt idx="22">
                  <c:v>52.997560975609751</c:v>
                </c:pt>
                <c:pt idx="23">
                  <c:v>52.997560975609751</c:v>
                </c:pt>
                <c:pt idx="24">
                  <c:v>52.997560975609751</c:v>
                </c:pt>
                <c:pt idx="25">
                  <c:v>52.997560975609751</c:v>
                </c:pt>
                <c:pt idx="26">
                  <c:v>52.997560975609751</c:v>
                </c:pt>
                <c:pt idx="27">
                  <c:v>52.997560975609751</c:v>
                </c:pt>
                <c:pt idx="28">
                  <c:v>52.997560975609751</c:v>
                </c:pt>
                <c:pt idx="29">
                  <c:v>52.997560975609751</c:v>
                </c:pt>
                <c:pt idx="30">
                  <c:v>52.997560975609751</c:v>
                </c:pt>
                <c:pt idx="31">
                  <c:v>52.997560975609751</c:v>
                </c:pt>
                <c:pt idx="32">
                  <c:v>52.997560975609751</c:v>
                </c:pt>
                <c:pt idx="33">
                  <c:v>52.997560975609751</c:v>
                </c:pt>
                <c:pt idx="34">
                  <c:v>52.997560975609751</c:v>
                </c:pt>
                <c:pt idx="35">
                  <c:v>52.997560975609751</c:v>
                </c:pt>
                <c:pt idx="36">
                  <c:v>52.997560975609751</c:v>
                </c:pt>
                <c:pt idx="37">
                  <c:v>52.997560975609751</c:v>
                </c:pt>
                <c:pt idx="38">
                  <c:v>52.997560975609751</c:v>
                </c:pt>
                <c:pt idx="39">
                  <c:v>52.997560975609751</c:v>
                </c:pt>
                <c:pt idx="40">
                  <c:v>52.997560975609751</c:v>
                </c:pt>
                <c:pt idx="41">
                  <c:v>52.997560975609751</c:v>
                </c:pt>
                <c:pt idx="42">
                  <c:v>52.997560975609751</c:v>
                </c:pt>
                <c:pt idx="43">
                  <c:v>52.997560975609751</c:v>
                </c:pt>
                <c:pt idx="44">
                  <c:v>52.997560975609751</c:v>
                </c:pt>
                <c:pt idx="45">
                  <c:v>52.997560975609751</c:v>
                </c:pt>
                <c:pt idx="46">
                  <c:v>52.997560975609751</c:v>
                </c:pt>
                <c:pt idx="47">
                  <c:v>52.997560975609751</c:v>
                </c:pt>
                <c:pt idx="48">
                  <c:v>52.997560975609751</c:v>
                </c:pt>
                <c:pt idx="49">
                  <c:v>52.997560975609751</c:v>
                </c:pt>
                <c:pt idx="50">
                  <c:v>52.997560975609751</c:v>
                </c:pt>
                <c:pt idx="51">
                  <c:v>52.997560975609751</c:v>
                </c:pt>
                <c:pt idx="52">
                  <c:v>52.997560975609751</c:v>
                </c:pt>
                <c:pt idx="53">
                  <c:v>52.997560975609751</c:v>
                </c:pt>
                <c:pt idx="54">
                  <c:v>52.997560975609751</c:v>
                </c:pt>
                <c:pt idx="55">
                  <c:v>52.997560975609751</c:v>
                </c:pt>
                <c:pt idx="56">
                  <c:v>52.997560975609751</c:v>
                </c:pt>
                <c:pt idx="57">
                  <c:v>52.997560975609751</c:v>
                </c:pt>
                <c:pt idx="58">
                  <c:v>52.997560975609751</c:v>
                </c:pt>
                <c:pt idx="59">
                  <c:v>52.997560975609751</c:v>
                </c:pt>
                <c:pt idx="60">
                  <c:v>52.997560975609751</c:v>
                </c:pt>
                <c:pt idx="61">
                  <c:v>52.997560975609751</c:v>
                </c:pt>
                <c:pt idx="62">
                  <c:v>52.997560975609751</c:v>
                </c:pt>
                <c:pt idx="63">
                  <c:v>52.997560975609751</c:v>
                </c:pt>
                <c:pt idx="64">
                  <c:v>52.997560975609751</c:v>
                </c:pt>
                <c:pt idx="65">
                  <c:v>52.997560975609751</c:v>
                </c:pt>
                <c:pt idx="66">
                  <c:v>52.997560975609751</c:v>
                </c:pt>
                <c:pt idx="67">
                  <c:v>52.997560975609751</c:v>
                </c:pt>
                <c:pt idx="68">
                  <c:v>52.997560975609751</c:v>
                </c:pt>
                <c:pt idx="69">
                  <c:v>52.997560975609751</c:v>
                </c:pt>
                <c:pt idx="70">
                  <c:v>52.997560975609751</c:v>
                </c:pt>
                <c:pt idx="71">
                  <c:v>52.997560975609751</c:v>
                </c:pt>
                <c:pt idx="72">
                  <c:v>52.997560975609751</c:v>
                </c:pt>
                <c:pt idx="73">
                  <c:v>52.997560975609751</c:v>
                </c:pt>
                <c:pt idx="74">
                  <c:v>52.997560975609751</c:v>
                </c:pt>
                <c:pt idx="75">
                  <c:v>52.997560975609751</c:v>
                </c:pt>
                <c:pt idx="76">
                  <c:v>52.997560975609751</c:v>
                </c:pt>
                <c:pt idx="77">
                  <c:v>52.997560975609751</c:v>
                </c:pt>
                <c:pt idx="78">
                  <c:v>52.997560975609751</c:v>
                </c:pt>
                <c:pt idx="79">
                  <c:v>52.997560975609751</c:v>
                </c:pt>
                <c:pt idx="80">
                  <c:v>52.997560975609751</c:v>
                </c:pt>
                <c:pt idx="81">
                  <c:v>52.997560975609751</c:v>
                </c:pt>
                <c:pt idx="82">
                  <c:v>52.997560975609751</c:v>
                </c:pt>
                <c:pt idx="83">
                  <c:v>52.997560975609751</c:v>
                </c:pt>
                <c:pt idx="84">
                  <c:v>52.997560975609751</c:v>
                </c:pt>
                <c:pt idx="85">
                  <c:v>52.997560975609751</c:v>
                </c:pt>
                <c:pt idx="86">
                  <c:v>52.997560975609751</c:v>
                </c:pt>
                <c:pt idx="87">
                  <c:v>52.997560975609751</c:v>
                </c:pt>
                <c:pt idx="88">
                  <c:v>52.997560975609751</c:v>
                </c:pt>
                <c:pt idx="89">
                  <c:v>52.997560975609751</c:v>
                </c:pt>
                <c:pt idx="90">
                  <c:v>52.997560975609751</c:v>
                </c:pt>
                <c:pt idx="91">
                  <c:v>52.997560975609751</c:v>
                </c:pt>
                <c:pt idx="92">
                  <c:v>52.997560975609751</c:v>
                </c:pt>
                <c:pt idx="93">
                  <c:v>52.997560975609751</c:v>
                </c:pt>
                <c:pt idx="94">
                  <c:v>52.997560975609751</c:v>
                </c:pt>
                <c:pt idx="95">
                  <c:v>52.997560975609751</c:v>
                </c:pt>
                <c:pt idx="96">
                  <c:v>52.997560975609751</c:v>
                </c:pt>
                <c:pt idx="97">
                  <c:v>52.997560975609751</c:v>
                </c:pt>
                <c:pt idx="98">
                  <c:v>52.997560975609751</c:v>
                </c:pt>
                <c:pt idx="99">
                  <c:v>52.997560975609751</c:v>
                </c:pt>
                <c:pt idx="100">
                  <c:v>52.997560975609751</c:v>
                </c:pt>
                <c:pt idx="101">
                  <c:v>52.997560975609751</c:v>
                </c:pt>
                <c:pt idx="102">
                  <c:v>52.997560975609751</c:v>
                </c:pt>
                <c:pt idx="103">
                  <c:v>52.997560975609751</c:v>
                </c:pt>
                <c:pt idx="104">
                  <c:v>52.997560975609751</c:v>
                </c:pt>
                <c:pt idx="105">
                  <c:v>52.997560975609751</c:v>
                </c:pt>
                <c:pt idx="106">
                  <c:v>52.997560975609751</c:v>
                </c:pt>
                <c:pt idx="107">
                  <c:v>52.997560975609751</c:v>
                </c:pt>
                <c:pt idx="108">
                  <c:v>52.997560975609751</c:v>
                </c:pt>
                <c:pt idx="109">
                  <c:v>52.997560975609751</c:v>
                </c:pt>
                <c:pt idx="110">
                  <c:v>52.997560975609751</c:v>
                </c:pt>
                <c:pt idx="111">
                  <c:v>52.997560975609751</c:v>
                </c:pt>
                <c:pt idx="112">
                  <c:v>52.997560975609751</c:v>
                </c:pt>
                <c:pt idx="113">
                  <c:v>52.997560975609751</c:v>
                </c:pt>
                <c:pt idx="114">
                  <c:v>52.997560975609751</c:v>
                </c:pt>
                <c:pt idx="115">
                  <c:v>52.997560975609751</c:v>
                </c:pt>
                <c:pt idx="116">
                  <c:v>52.997560975609751</c:v>
                </c:pt>
                <c:pt idx="117">
                  <c:v>52.997560975609751</c:v>
                </c:pt>
                <c:pt idx="118">
                  <c:v>52.997560975609751</c:v>
                </c:pt>
                <c:pt idx="119">
                  <c:v>52.997560975609751</c:v>
                </c:pt>
                <c:pt idx="120">
                  <c:v>52.997560975609751</c:v>
                </c:pt>
                <c:pt idx="121">
                  <c:v>52.997560975609751</c:v>
                </c:pt>
                <c:pt idx="122">
                  <c:v>52.997560975609751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433152"/>
        <c:axId val="230434688"/>
      </c:lineChart>
      <c:catAx>
        <c:axId val="230433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30434688"/>
        <c:crosses val="autoZero"/>
        <c:auto val="1"/>
        <c:lblAlgn val="ctr"/>
        <c:lblOffset val="100"/>
        <c:tickLblSkip val="5"/>
        <c:noMultiLvlLbl val="0"/>
      </c:catAx>
      <c:valAx>
        <c:axId val="230434688"/>
        <c:scaling>
          <c:orientation val="minMax"/>
          <c:max val="58"/>
          <c:min val="49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Average Annual Temperature</a:t>
                </a:r>
                <a:r>
                  <a:rPr lang="en-US" sz="1600" baseline="0"/>
                  <a:t> °F</a:t>
                </a:r>
                <a:endParaRPr lang="en-US" sz="1600"/>
              </a:p>
            </c:rich>
          </c:tx>
          <c:layout>
            <c:manualLayout>
              <c:xMode val="edge"/>
              <c:yMode val="edge"/>
              <c:x val="9.4893332337077901E-3"/>
              <c:y val="0.2601119860017497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0433152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17423630263268974"/>
          <c:y val="0.12116503618865823"/>
          <c:w val="0.44633668822743627"/>
          <c:h val="0.16137373737373736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143211799021393E-2"/>
          <c:y val="2.0409130676847211E-2"/>
          <c:w val="0.87933502488887116"/>
          <c:h val="0.91064821442774202"/>
        </c:manualLayout>
      </c:layout>
      <c:lineChart>
        <c:grouping val="standard"/>
        <c:varyColors val="0"/>
        <c:ser>
          <c:idx val="3"/>
          <c:order val="0"/>
          <c:tx>
            <c:v>Average Annual Temperature - PA</c:v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val>
            <c:numRef>
              <c:f>'Data -- PA Temp'!$E$11:$E$133</c:f>
              <c:numCache>
                <c:formatCode>General</c:formatCode>
                <c:ptCount val="123"/>
                <c:pt idx="0">
                  <c:v>50.1</c:v>
                </c:pt>
                <c:pt idx="1">
                  <c:v>51.3</c:v>
                </c:pt>
                <c:pt idx="2">
                  <c:v>51.1</c:v>
                </c:pt>
                <c:pt idx="3">
                  <c:v>52.4</c:v>
                </c:pt>
                <c:pt idx="4">
                  <c:v>50.8</c:v>
                </c:pt>
                <c:pt idx="5">
                  <c:v>52.2</c:v>
                </c:pt>
                <c:pt idx="6">
                  <c:v>50.1</c:v>
                </c:pt>
                <c:pt idx="7">
                  <c:v>50.6</c:v>
                </c:pt>
                <c:pt idx="8">
                  <c:v>50.4</c:v>
                </c:pt>
                <c:pt idx="9">
                  <c:v>47.8</c:v>
                </c:pt>
                <c:pt idx="10">
                  <c:v>49.9</c:v>
                </c:pt>
                <c:pt idx="11">
                  <c:v>51.5</c:v>
                </c:pt>
                <c:pt idx="12">
                  <c:v>48.5</c:v>
                </c:pt>
                <c:pt idx="13">
                  <c:v>51.1</c:v>
                </c:pt>
                <c:pt idx="14">
                  <c:v>50.4</c:v>
                </c:pt>
                <c:pt idx="15">
                  <c:v>50.3</c:v>
                </c:pt>
                <c:pt idx="16">
                  <c:v>51.2</c:v>
                </c:pt>
                <c:pt idx="17">
                  <c:v>49.8</c:v>
                </c:pt>
                <c:pt idx="18">
                  <c:v>52.6</c:v>
                </c:pt>
                <c:pt idx="19">
                  <c:v>49.6</c:v>
                </c:pt>
                <c:pt idx="20">
                  <c:v>50.8</c:v>
                </c:pt>
                <c:pt idx="21">
                  <c:v>50</c:v>
                </c:pt>
                <c:pt idx="22">
                  <c:v>48.4</c:v>
                </c:pt>
                <c:pt idx="23">
                  <c:v>50.8</c:v>
                </c:pt>
                <c:pt idx="24">
                  <c:v>52.1</c:v>
                </c:pt>
                <c:pt idx="25">
                  <c:v>50.2</c:v>
                </c:pt>
                <c:pt idx="26">
                  <c:v>53.1</c:v>
                </c:pt>
                <c:pt idx="27">
                  <c:v>51.6</c:v>
                </c:pt>
                <c:pt idx="28">
                  <c:v>51</c:v>
                </c:pt>
                <c:pt idx="29">
                  <c:v>49.4</c:v>
                </c:pt>
                <c:pt idx="30">
                  <c:v>50.7</c:v>
                </c:pt>
                <c:pt idx="31">
                  <c:v>48.9</c:v>
                </c:pt>
                <c:pt idx="32">
                  <c:v>51</c:v>
                </c:pt>
                <c:pt idx="33">
                  <c:v>50.9</c:v>
                </c:pt>
                <c:pt idx="34">
                  <c:v>51.1</c:v>
                </c:pt>
                <c:pt idx="35">
                  <c:v>51.7</c:v>
                </c:pt>
                <c:pt idx="36">
                  <c:v>53.2</c:v>
                </c:pt>
                <c:pt idx="37">
                  <c:v>52.1</c:v>
                </c:pt>
                <c:pt idx="38">
                  <c:v>51.8</c:v>
                </c:pt>
                <c:pt idx="39">
                  <c:v>50.5</c:v>
                </c:pt>
                <c:pt idx="40">
                  <c:v>50.4</c:v>
                </c:pt>
                <c:pt idx="41">
                  <c:v>50.9</c:v>
                </c:pt>
                <c:pt idx="42">
                  <c:v>51.4</c:v>
                </c:pt>
                <c:pt idx="43">
                  <c:v>52.1</c:v>
                </c:pt>
                <c:pt idx="44">
                  <c:v>51.7</c:v>
                </c:pt>
                <c:pt idx="45">
                  <c:v>48.7</c:v>
                </c:pt>
                <c:pt idx="46">
                  <c:v>51.7</c:v>
                </c:pt>
                <c:pt idx="47">
                  <c:v>51.2</c:v>
                </c:pt>
                <c:pt idx="48">
                  <c:v>50.7</c:v>
                </c:pt>
                <c:pt idx="49">
                  <c:v>51.2</c:v>
                </c:pt>
                <c:pt idx="50">
                  <c:v>51</c:v>
                </c:pt>
                <c:pt idx="51">
                  <c:v>52.2</c:v>
                </c:pt>
                <c:pt idx="52">
                  <c:v>50.9</c:v>
                </c:pt>
                <c:pt idx="53">
                  <c:v>50.8</c:v>
                </c:pt>
                <c:pt idx="54">
                  <c:v>53.3</c:v>
                </c:pt>
                <c:pt idx="55">
                  <c:v>50.6</c:v>
                </c:pt>
                <c:pt idx="56">
                  <c:v>51.5</c:v>
                </c:pt>
                <c:pt idx="57">
                  <c:v>52.1</c:v>
                </c:pt>
                <c:pt idx="58">
                  <c:v>53.1</c:v>
                </c:pt>
                <c:pt idx="59">
                  <c:v>51.9</c:v>
                </c:pt>
                <c:pt idx="60">
                  <c:v>51.7</c:v>
                </c:pt>
                <c:pt idx="61">
                  <c:v>50.8</c:v>
                </c:pt>
                <c:pt idx="62">
                  <c:v>52</c:v>
                </c:pt>
                <c:pt idx="63">
                  <c:v>49.5</c:v>
                </c:pt>
                <c:pt idx="64">
                  <c:v>52.5</c:v>
                </c:pt>
                <c:pt idx="65">
                  <c:v>50.6</c:v>
                </c:pt>
                <c:pt idx="66">
                  <c:v>51</c:v>
                </c:pt>
                <c:pt idx="67">
                  <c:v>49.9</c:v>
                </c:pt>
                <c:pt idx="68">
                  <c:v>49.9</c:v>
                </c:pt>
                <c:pt idx="69">
                  <c:v>51.1</c:v>
                </c:pt>
                <c:pt idx="70">
                  <c:v>50.8</c:v>
                </c:pt>
                <c:pt idx="71">
                  <c:v>50.8</c:v>
                </c:pt>
                <c:pt idx="72">
                  <c:v>50</c:v>
                </c:pt>
                <c:pt idx="73">
                  <c:v>51</c:v>
                </c:pt>
                <c:pt idx="74">
                  <c:v>51</c:v>
                </c:pt>
                <c:pt idx="75">
                  <c:v>51.1</c:v>
                </c:pt>
                <c:pt idx="76">
                  <c:v>51.6</c:v>
                </c:pt>
                <c:pt idx="77">
                  <c:v>50.5</c:v>
                </c:pt>
                <c:pt idx="78">
                  <c:v>52.9</c:v>
                </c:pt>
                <c:pt idx="79">
                  <c:v>51.7</c:v>
                </c:pt>
                <c:pt idx="80">
                  <c:v>52.2</c:v>
                </c:pt>
                <c:pt idx="81">
                  <c:v>50.7</c:v>
                </c:pt>
                <c:pt idx="82">
                  <c:v>51.3</c:v>
                </c:pt>
                <c:pt idx="83">
                  <c:v>49.9</c:v>
                </c:pt>
                <c:pt idx="84">
                  <c:v>51</c:v>
                </c:pt>
                <c:pt idx="85">
                  <c:v>51.3</c:v>
                </c:pt>
                <c:pt idx="86">
                  <c:v>51</c:v>
                </c:pt>
                <c:pt idx="87">
                  <c:v>51.1</c:v>
                </c:pt>
                <c:pt idx="88">
                  <c:v>52</c:v>
                </c:pt>
                <c:pt idx="89">
                  <c:v>51.7</c:v>
                </c:pt>
                <c:pt idx="90">
                  <c:v>52.2</c:v>
                </c:pt>
                <c:pt idx="91">
                  <c:v>51.9</c:v>
                </c:pt>
                <c:pt idx="92">
                  <c:v>52.3</c:v>
                </c:pt>
                <c:pt idx="93">
                  <c:v>51.3</c:v>
                </c:pt>
                <c:pt idx="94">
                  <c:v>51</c:v>
                </c:pt>
                <c:pt idx="95">
                  <c:v>54</c:v>
                </c:pt>
                <c:pt idx="96">
                  <c:v>53.9</c:v>
                </c:pt>
                <c:pt idx="97">
                  <c:v>50.9</c:v>
                </c:pt>
                <c:pt idx="98">
                  <c:v>51.8</c:v>
                </c:pt>
                <c:pt idx="99">
                  <c:v>51.5</c:v>
                </c:pt>
                <c:pt idx="100">
                  <c:v>52</c:v>
                </c:pt>
                <c:pt idx="101">
                  <c:v>50.9</c:v>
                </c:pt>
                <c:pt idx="102">
                  <c:v>51.6</c:v>
                </c:pt>
                <c:pt idx="103">
                  <c:v>54.9</c:v>
                </c:pt>
                <c:pt idx="104">
                  <c:v>53.6</c:v>
                </c:pt>
                <c:pt idx="105">
                  <c:v>51.7</c:v>
                </c:pt>
                <c:pt idx="106">
                  <c:v>53.2</c:v>
                </c:pt>
                <c:pt idx="107">
                  <c:v>53.8</c:v>
                </c:pt>
                <c:pt idx="108">
                  <c:v>51.4</c:v>
                </c:pt>
                <c:pt idx="109">
                  <c:v>52.7</c:v>
                </c:pt>
                <c:pt idx="110">
                  <c:v>53.1</c:v>
                </c:pt>
                <c:pt idx="111">
                  <c:v>54.6</c:v>
                </c:pt>
                <c:pt idx="112">
                  <c:v>53.2</c:v>
                </c:pt>
                <c:pt idx="113">
                  <c:v>52.9</c:v>
                </c:pt>
                <c:pt idx="114">
                  <c:v>52.3</c:v>
                </c:pt>
                <c:pt idx="115">
                  <c:v>54.1</c:v>
                </c:pt>
                <c:pt idx="116">
                  <c:v>54.2</c:v>
                </c:pt>
                <c:pt idx="117">
                  <c:v>55.2</c:v>
                </c:pt>
                <c:pt idx="118">
                  <c:v>52.6</c:v>
                </c:pt>
                <c:pt idx="119">
                  <c:v>51.2</c:v>
                </c:pt>
                <c:pt idx="120">
                  <c:v>53.3</c:v>
                </c:pt>
                <c:pt idx="121">
                  <c:v>54.5</c:v>
                </c:pt>
                <c:pt idx="122">
                  <c:v>54.3</c:v>
                </c:pt>
              </c:numCache>
            </c:numRef>
          </c:val>
          <c:smooth val="0"/>
        </c:ser>
        <c:ser>
          <c:idx val="1"/>
          <c:order val="1"/>
          <c:tx>
            <c:v>Average Annual Temperature NJ</c:v>
          </c:tx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none"/>
          </c:marker>
          <c:cat>
            <c:numRef>
              <c:f>'Data -- PA Temp'!$F$11:$F$133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-- NJ Temp'!$D$9:$D$131</c:f>
              <c:numCache>
                <c:formatCode>General</c:formatCode>
                <c:ptCount val="123"/>
                <c:pt idx="0">
                  <c:v>51</c:v>
                </c:pt>
                <c:pt idx="1">
                  <c:v>51.8</c:v>
                </c:pt>
                <c:pt idx="2">
                  <c:v>51.7</c:v>
                </c:pt>
                <c:pt idx="3">
                  <c:v>52.7</c:v>
                </c:pt>
                <c:pt idx="4">
                  <c:v>51.4</c:v>
                </c:pt>
                <c:pt idx="5">
                  <c:v>53.1</c:v>
                </c:pt>
                <c:pt idx="6">
                  <c:v>51</c:v>
                </c:pt>
                <c:pt idx="7">
                  <c:v>51.9</c:v>
                </c:pt>
                <c:pt idx="8">
                  <c:v>51.7</c:v>
                </c:pt>
                <c:pt idx="9">
                  <c:v>49.3</c:v>
                </c:pt>
                <c:pt idx="10">
                  <c:v>51.1</c:v>
                </c:pt>
                <c:pt idx="11">
                  <c:v>52.9</c:v>
                </c:pt>
                <c:pt idx="12">
                  <c:v>50.2</c:v>
                </c:pt>
                <c:pt idx="13">
                  <c:v>52.6</c:v>
                </c:pt>
                <c:pt idx="14">
                  <c:v>52</c:v>
                </c:pt>
                <c:pt idx="15">
                  <c:v>51.8</c:v>
                </c:pt>
                <c:pt idx="16">
                  <c:v>52.7</c:v>
                </c:pt>
                <c:pt idx="17">
                  <c:v>51.4</c:v>
                </c:pt>
                <c:pt idx="18">
                  <c:v>54.1</c:v>
                </c:pt>
                <c:pt idx="19">
                  <c:v>51.3</c:v>
                </c:pt>
                <c:pt idx="20">
                  <c:v>52.2</c:v>
                </c:pt>
                <c:pt idx="21">
                  <c:v>51.2</c:v>
                </c:pt>
                <c:pt idx="22">
                  <c:v>49.7</c:v>
                </c:pt>
                <c:pt idx="23">
                  <c:v>51.7</c:v>
                </c:pt>
                <c:pt idx="24">
                  <c:v>52.9</c:v>
                </c:pt>
                <c:pt idx="25">
                  <c:v>51.4</c:v>
                </c:pt>
                <c:pt idx="26">
                  <c:v>54.3</c:v>
                </c:pt>
                <c:pt idx="27">
                  <c:v>52.7</c:v>
                </c:pt>
                <c:pt idx="28">
                  <c:v>52</c:v>
                </c:pt>
                <c:pt idx="29">
                  <c:v>50.7</c:v>
                </c:pt>
                <c:pt idx="30">
                  <c:v>52.5</c:v>
                </c:pt>
                <c:pt idx="31">
                  <c:v>50.3</c:v>
                </c:pt>
                <c:pt idx="32">
                  <c:v>52.2</c:v>
                </c:pt>
                <c:pt idx="33">
                  <c:v>52</c:v>
                </c:pt>
                <c:pt idx="34">
                  <c:v>52.6</c:v>
                </c:pt>
                <c:pt idx="35">
                  <c:v>53</c:v>
                </c:pt>
                <c:pt idx="36">
                  <c:v>54.5</c:v>
                </c:pt>
                <c:pt idx="37">
                  <c:v>53.5</c:v>
                </c:pt>
                <c:pt idx="38">
                  <c:v>53.2</c:v>
                </c:pt>
                <c:pt idx="39">
                  <c:v>51.7</c:v>
                </c:pt>
                <c:pt idx="40">
                  <c:v>51.7</c:v>
                </c:pt>
                <c:pt idx="41">
                  <c:v>52.2</c:v>
                </c:pt>
                <c:pt idx="42">
                  <c:v>52.8</c:v>
                </c:pt>
                <c:pt idx="43">
                  <c:v>53.4</c:v>
                </c:pt>
                <c:pt idx="44">
                  <c:v>53.1</c:v>
                </c:pt>
                <c:pt idx="45">
                  <c:v>50.1</c:v>
                </c:pt>
                <c:pt idx="46">
                  <c:v>53.2</c:v>
                </c:pt>
                <c:pt idx="47">
                  <c:v>52.8</c:v>
                </c:pt>
                <c:pt idx="48">
                  <c:v>52.3</c:v>
                </c:pt>
                <c:pt idx="49">
                  <c:v>52.7</c:v>
                </c:pt>
                <c:pt idx="50">
                  <c:v>52.9</c:v>
                </c:pt>
                <c:pt idx="51">
                  <c:v>53.9</c:v>
                </c:pt>
                <c:pt idx="52">
                  <c:v>52.4</c:v>
                </c:pt>
                <c:pt idx="53">
                  <c:v>52.5</c:v>
                </c:pt>
                <c:pt idx="54">
                  <c:v>55</c:v>
                </c:pt>
                <c:pt idx="55">
                  <c:v>52.4</c:v>
                </c:pt>
                <c:pt idx="56">
                  <c:v>53.4</c:v>
                </c:pt>
                <c:pt idx="57">
                  <c:v>53.7</c:v>
                </c:pt>
                <c:pt idx="58">
                  <c:v>54.7</c:v>
                </c:pt>
                <c:pt idx="59">
                  <c:v>53.5</c:v>
                </c:pt>
                <c:pt idx="60">
                  <c:v>53.2</c:v>
                </c:pt>
                <c:pt idx="61">
                  <c:v>52.6</c:v>
                </c:pt>
                <c:pt idx="62">
                  <c:v>53.7</c:v>
                </c:pt>
                <c:pt idx="63">
                  <c:v>51.3</c:v>
                </c:pt>
                <c:pt idx="64">
                  <c:v>54.2</c:v>
                </c:pt>
                <c:pt idx="65">
                  <c:v>52.3</c:v>
                </c:pt>
                <c:pt idx="66">
                  <c:v>52.7</c:v>
                </c:pt>
                <c:pt idx="67">
                  <c:v>51.4</c:v>
                </c:pt>
                <c:pt idx="68">
                  <c:v>51.7</c:v>
                </c:pt>
                <c:pt idx="69">
                  <c:v>52.9</c:v>
                </c:pt>
                <c:pt idx="70">
                  <c:v>52.2</c:v>
                </c:pt>
                <c:pt idx="71">
                  <c:v>52.2</c:v>
                </c:pt>
                <c:pt idx="72">
                  <c:v>51.5</c:v>
                </c:pt>
                <c:pt idx="73">
                  <c:v>52.6</c:v>
                </c:pt>
                <c:pt idx="74">
                  <c:v>52.4</c:v>
                </c:pt>
                <c:pt idx="75">
                  <c:v>52.7</c:v>
                </c:pt>
                <c:pt idx="76">
                  <c:v>53.3</c:v>
                </c:pt>
                <c:pt idx="77">
                  <c:v>52.2</c:v>
                </c:pt>
                <c:pt idx="78">
                  <c:v>54.6</c:v>
                </c:pt>
                <c:pt idx="79">
                  <c:v>53.4</c:v>
                </c:pt>
                <c:pt idx="80">
                  <c:v>54</c:v>
                </c:pt>
                <c:pt idx="81">
                  <c:v>52.5</c:v>
                </c:pt>
                <c:pt idx="82">
                  <c:v>53.2</c:v>
                </c:pt>
                <c:pt idx="83">
                  <c:v>51.5</c:v>
                </c:pt>
                <c:pt idx="84">
                  <c:v>52.7</c:v>
                </c:pt>
                <c:pt idx="85">
                  <c:v>52.9</c:v>
                </c:pt>
                <c:pt idx="86">
                  <c:v>52.6</c:v>
                </c:pt>
                <c:pt idx="87">
                  <c:v>52.6</c:v>
                </c:pt>
                <c:pt idx="88">
                  <c:v>53.8</c:v>
                </c:pt>
                <c:pt idx="89">
                  <c:v>53.4</c:v>
                </c:pt>
                <c:pt idx="90">
                  <c:v>53.8</c:v>
                </c:pt>
                <c:pt idx="91">
                  <c:v>53.6</c:v>
                </c:pt>
                <c:pt idx="92">
                  <c:v>53.5</c:v>
                </c:pt>
                <c:pt idx="93">
                  <c:v>52.7</c:v>
                </c:pt>
                <c:pt idx="94">
                  <c:v>52.7</c:v>
                </c:pt>
                <c:pt idx="95">
                  <c:v>55.7</c:v>
                </c:pt>
                <c:pt idx="96">
                  <c:v>55.5</c:v>
                </c:pt>
                <c:pt idx="97">
                  <c:v>52.4</c:v>
                </c:pt>
                <c:pt idx="98">
                  <c:v>53.5</c:v>
                </c:pt>
                <c:pt idx="99">
                  <c:v>53.5</c:v>
                </c:pt>
                <c:pt idx="100">
                  <c:v>53.7</c:v>
                </c:pt>
                <c:pt idx="101">
                  <c:v>52.7</c:v>
                </c:pt>
                <c:pt idx="102">
                  <c:v>53.3</c:v>
                </c:pt>
                <c:pt idx="103">
                  <c:v>56.3</c:v>
                </c:pt>
                <c:pt idx="104">
                  <c:v>55.2</c:v>
                </c:pt>
                <c:pt idx="105">
                  <c:v>53.5</c:v>
                </c:pt>
                <c:pt idx="106">
                  <c:v>54.8</c:v>
                </c:pt>
                <c:pt idx="107">
                  <c:v>55.5</c:v>
                </c:pt>
                <c:pt idx="108">
                  <c:v>53.1</c:v>
                </c:pt>
                <c:pt idx="109">
                  <c:v>54.3</c:v>
                </c:pt>
                <c:pt idx="110">
                  <c:v>54.6</c:v>
                </c:pt>
                <c:pt idx="111">
                  <c:v>56.2</c:v>
                </c:pt>
                <c:pt idx="112">
                  <c:v>55</c:v>
                </c:pt>
                <c:pt idx="113">
                  <c:v>55</c:v>
                </c:pt>
                <c:pt idx="114">
                  <c:v>54</c:v>
                </c:pt>
                <c:pt idx="115">
                  <c:v>55.8</c:v>
                </c:pt>
                <c:pt idx="116">
                  <c:v>56.2</c:v>
                </c:pt>
                <c:pt idx="117">
                  <c:v>57</c:v>
                </c:pt>
                <c:pt idx="118">
                  <c:v>54.3</c:v>
                </c:pt>
                <c:pt idx="119">
                  <c:v>53.1</c:v>
                </c:pt>
                <c:pt idx="120">
                  <c:v>55.2</c:v>
                </c:pt>
                <c:pt idx="121">
                  <c:v>56.1</c:v>
                </c:pt>
                <c:pt idx="122">
                  <c:v>55.9</c:v>
                </c:pt>
              </c:numCache>
            </c:numRef>
          </c:val>
          <c:smooth val="0"/>
        </c:ser>
        <c:ser>
          <c:idx val="4"/>
          <c:order val="2"/>
          <c:tx>
            <c:v>Trend -- Moving 30 Year Average - PA</c:v>
          </c:tx>
          <c:spPr>
            <a:ln w="57150">
              <a:solidFill>
                <a:srgbClr val="00B050"/>
              </a:solidFill>
            </a:ln>
          </c:spPr>
          <c:marker>
            <c:symbol val="none"/>
          </c:marker>
          <c:val>
            <c:numRef>
              <c:f>'Data -- PA Temp'!$G$11:$G$133</c:f>
              <c:numCache>
                <c:formatCode>General</c:formatCode>
                <c:ptCount val="123"/>
                <c:pt idx="0">
                  <c:v>50.933918799397333</c:v>
                </c:pt>
                <c:pt idx="1">
                  <c:v>50.886464844716095</c:v>
                </c:pt>
                <c:pt idx="2">
                  <c:v>50.84111119757717</c:v>
                </c:pt>
                <c:pt idx="3">
                  <c:v>50.798249360541128</c:v>
                </c:pt>
                <c:pt idx="4">
                  <c:v>50.758155114740205</c:v>
                </c:pt>
                <c:pt idx="5">
                  <c:v>50.720816848660142</c:v>
                </c:pt>
                <c:pt idx="6">
                  <c:v>50.686028357079131</c:v>
                </c:pt>
                <c:pt idx="7">
                  <c:v>50.653260320250389</c:v>
                </c:pt>
                <c:pt idx="8">
                  <c:v>50.621812724281526</c:v>
                </c:pt>
                <c:pt idx="9">
                  <c:v>50.590750976320614</c:v>
                </c:pt>
                <c:pt idx="10">
                  <c:v>50.558900801384404</c:v>
                </c:pt>
                <c:pt idx="11">
                  <c:v>50.525158266884532</c:v>
                </c:pt>
                <c:pt idx="12">
                  <c:v>50.48822503433064</c:v>
                </c:pt>
                <c:pt idx="13">
                  <c:v>50.446476547392329</c:v>
                </c:pt>
                <c:pt idx="14">
                  <c:v>50.401245077287875</c:v>
                </c:pt>
                <c:pt idx="15">
                  <c:v>50.367927393286855</c:v>
                </c:pt>
                <c:pt idx="16">
                  <c:v>50.397922826629298</c:v>
                </c:pt>
                <c:pt idx="17">
                  <c:v>50.447348565188719</c:v>
                </c:pt>
                <c:pt idx="18">
                  <c:v>50.506304800765065</c:v>
                </c:pt>
                <c:pt idx="19">
                  <c:v>50.563947873736581</c:v>
                </c:pt>
                <c:pt idx="20">
                  <c:v>50.611269181773608</c:v>
                </c:pt>
                <c:pt idx="21">
                  <c:v>50.64481561213956</c:v>
                </c:pt>
                <c:pt idx="22">
                  <c:v>50.664487134547237</c:v>
                </c:pt>
                <c:pt idx="23">
                  <c:v>50.675842389910969</c:v>
                </c:pt>
                <c:pt idx="24">
                  <c:v>50.691198258366576</c:v>
                </c:pt>
                <c:pt idx="25">
                  <c:v>50.718034247057638</c:v>
                </c:pt>
                <c:pt idx="26">
                  <c:v>50.757997285325551</c:v>
                </c:pt>
                <c:pt idx="27">
                  <c:v>50.810689925829962</c:v>
                </c:pt>
                <c:pt idx="28">
                  <c:v>50.86995514623802</c:v>
                </c:pt>
                <c:pt idx="29">
                  <c:v>50.929557943032812</c:v>
                </c:pt>
                <c:pt idx="30">
                  <c:v>50.985388843590364</c:v>
                </c:pt>
                <c:pt idx="31">
                  <c:v>51.035404282346356</c:v>
                </c:pt>
                <c:pt idx="32">
                  <c:v>51.077168357330123</c:v>
                </c:pt>
                <c:pt idx="33">
                  <c:v>51.104139527667591</c:v>
                </c:pt>
                <c:pt idx="34">
                  <c:v>51.117119402045397</c:v>
                </c:pt>
                <c:pt idx="35">
                  <c:v>51.120357431582434</c:v>
                </c:pt>
                <c:pt idx="36">
                  <c:v>51.121001446660728</c:v>
                </c:pt>
                <c:pt idx="37">
                  <c:v>51.127453537275692</c:v>
                </c:pt>
                <c:pt idx="38">
                  <c:v>51.142328249050856</c:v>
                </c:pt>
                <c:pt idx="39">
                  <c:v>51.16466013918771</c:v>
                </c:pt>
                <c:pt idx="40">
                  <c:v>51.190227035336029</c:v>
                </c:pt>
                <c:pt idx="41">
                  <c:v>51.21107112904469</c:v>
                </c:pt>
                <c:pt idx="42">
                  <c:v>51.22417349524062</c:v>
                </c:pt>
                <c:pt idx="43">
                  <c:v>51.228187470648081</c:v>
                </c:pt>
                <c:pt idx="44">
                  <c:v>51.225268350561777</c:v>
                </c:pt>
                <c:pt idx="45">
                  <c:v>51.220036332891759</c:v>
                </c:pt>
                <c:pt idx="46">
                  <c:v>51.220745362154588</c:v>
                </c:pt>
                <c:pt idx="47">
                  <c:v>51.233038326633903</c:v>
                </c:pt>
                <c:pt idx="48">
                  <c:v>51.259009183973426</c:v>
                </c:pt>
                <c:pt idx="49">
                  <c:v>51.296963994083448</c:v>
                </c:pt>
                <c:pt idx="50">
                  <c:v>51.342098206085424</c:v>
                </c:pt>
                <c:pt idx="51">
                  <c:v>51.385327693569437</c:v>
                </c:pt>
                <c:pt idx="52">
                  <c:v>51.422357762640331</c:v>
                </c:pt>
                <c:pt idx="53">
                  <c:v>51.450893564308977</c:v>
                </c:pt>
                <c:pt idx="54">
                  <c:v>51.471414680285825</c:v>
                </c:pt>
                <c:pt idx="55">
                  <c:v>51.483516236793257</c:v>
                </c:pt>
                <c:pt idx="56">
                  <c:v>51.48463777153377</c:v>
                </c:pt>
                <c:pt idx="57">
                  <c:v>51.473171491947021</c:v>
                </c:pt>
                <c:pt idx="58">
                  <c:v>51.448306130732561</c:v>
                </c:pt>
                <c:pt idx="59">
                  <c:v>51.411573402885182</c:v>
                </c:pt>
                <c:pt idx="60">
                  <c:v>51.366194346589701</c:v>
                </c:pt>
                <c:pt idx="61">
                  <c:v>51.313044979298738</c:v>
                </c:pt>
                <c:pt idx="62">
                  <c:v>51.253700563956635</c:v>
                </c:pt>
                <c:pt idx="63">
                  <c:v>51.191485907536382</c:v>
                </c:pt>
                <c:pt idx="64">
                  <c:v>51.129448159030943</c:v>
                </c:pt>
                <c:pt idx="65">
                  <c:v>51.070214336426581</c:v>
                </c:pt>
                <c:pt idx="66">
                  <c:v>51.017714947205917</c:v>
                </c:pt>
                <c:pt idx="67">
                  <c:v>50.976951045217803</c:v>
                </c:pt>
                <c:pt idx="68">
                  <c:v>50.951139714451486</c:v>
                </c:pt>
                <c:pt idx="69">
                  <c:v>50.939001545098904</c:v>
                </c:pt>
                <c:pt idx="70">
                  <c:v>50.940880690803581</c:v>
                </c:pt>
                <c:pt idx="71">
                  <c:v>50.953819688306339</c:v>
                </c:pt>
                <c:pt idx="72">
                  <c:v>50.973299165361894</c:v>
                </c:pt>
                <c:pt idx="73">
                  <c:v>50.995061892474617</c:v>
                </c:pt>
                <c:pt idx="74">
                  <c:v>51.017421258201473</c:v>
                </c:pt>
                <c:pt idx="75">
                  <c:v>51.040757770899418</c:v>
                </c:pt>
                <c:pt idx="76">
                  <c:v>51.06753589565438</c:v>
                </c:pt>
                <c:pt idx="77">
                  <c:v>51.099548131904498</c:v>
                </c:pt>
                <c:pt idx="78">
                  <c:v>51.13914642691352</c:v>
                </c:pt>
                <c:pt idx="79">
                  <c:v>51.184717582155244</c:v>
                </c:pt>
                <c:pt idx="80">
                  <c:v>51.234318800920413</c:v>
                </c:pt>
                <c:pt idx="81">
                  <c:v>51.284281783008055</c:v>
                </c:pt>
                <c:pt idx="82">
                  <c:v>51.332004374670404</c:v>
                </c:pt>
                <c:pt idx="83">
                  <c:v>51.379661876552085</c:v>
                </c:pt>
                <c:pt idx="84">
                  <c:v>51.428863054181726</c:v>
                </c:pt>
                <c:pt idx="85">
                  <c:v>51.477781526013281</c:v>
                </c:pt>
                <c:pt idx="86">
                  <c:v>51.524818037476599</c:v>
                </c:pt>
                <c:pt idx="87">
                  <c:v>51.569829323070103</c:v>
                </c:pt>
                <c:pt idx="88">
                  <c:v>51.613023650555689</c:v>
                </c:pt>
                <c:pt idx="89">
                  <c:v>51.654260714241751</c:v>
                </c:pt>
                <c:pt idx="90">
                  <c:v>51.695751663521676</c:v>
                </c:pt>
                <c:pt idx="91">
                  <c:v>51.744765684267044</c:v>
                </c:pt>
                <c:pt idx="92">
                  <c:v>51.806450394706722</c:v>
                </c:pt>
                <c:pt idx="93">
                  <c:v>51.877470879443074</c:v>
                </c:pt>
                <c:pt idx="94">
                  <c:v>51.95385375604063</c:v>
                </c:pt>
                <c:pt idx="95">
                  <c:v>52.032283551046824</c:v>
                </c:pt>
                <c:pt idx="96">
                  <c:v>52.108718275297562</c:v>
                </c:pt>
                <c:pt idx="97">
                  <c:v>52.179710998283959</c:v>
                </c:pt>
                <c:pt idx="98">
                  <c:v>52.245141964124869</c:v>
                </c:pt>
                <c:pt idx="99">
                  <c:v>52.307561655522811</c:v>
                </c:pt>
                <c:pt idx="100">
                  <c:v>52.368601314161189</c:v>
                </c:pt>
                <c:pt idx="101">
                  <c:v>52.428969880886306</c:v>
                </c:pt>
                <c:pt idx="102">
                  <c:v>52.488466165795444</c:v>
                </c:pt>
                <c:pt idx="103">
                  <c:v>52.549194024198748</c:v>
                </c:pt>
                <c:pt idx="104">
                  <c:v>52.615604313223308</c:v>
                </c:pt>
                <c:pt idx="105">
                  <c:v>52.691041762767675</c:v>
                </c:pt>
                <c:pt idx="106">
                  <c:v>52.773285772291118</c:v>
                </c:pt>
                <c:pt idx="107">
                  <c:v>52.856659908375235</c:v>
                </c:pt>
                <c:pt idx="108">
                  <c:v>52.924098164953584</c:v>
                </c:pt>
                <c:pt idx="109">
                  <c:v>52.984202863148163</c:v>
                </c:pt>
                <c:pt idx="110">
                  <c:v>53.046040962161946</c:v>
                </c:pt>
                <c:pt idx="111">
                  <c:v>53.109985039192942</c:v>
                </c:pt>
                <c:pt idx="112">
                  <c:v>53.17516872526361</c:v>
                </c:pt>
                <c:pt idx="113">
                  <c:v>53.240732524587905</c:v>
                </c:pt>
                <c:pt idx="114">
                  <c:v>53.306121780206674</c:v>
                </c:pt>
                <c:pt idx="115">
                  <c:v>53.371077596839747</c:v>
                </c:pt>
                <c:pt idx="116">
                  <c:v>53.435550509917107</c:v>
                </c:pt>
                <c:pt idx="117">
                  <c:v>53.499434976901036</c:v>
                </c:pt>
                <c:pt idx="118">
                  <c:v>53.562494004405558</c:v>
                </c:pt>
                <c:pt idx="119">
                  <c:v>53.624347425884586</c:v>
                </c:pt>
                <c:pt idx="120">
                  <c:v>53.684862430278251</c:v>
                </c:pt>
                <c:pt idx="121">
                  <c:v>53.744340012989561</c:v>
                </c:pt>
                <c:pt idx="122">
                  <c:v>53.803179146081604</c:v>
                </c:pt>
              </c:numCache>
            </c:numRef>
          </c:val>
          <c:smooth val="0"/>
        </c:ser>
        <c:ser>
          <c:idx val="2"/>
          <c:order val="3"/>
          <c:tx>
            <c:v>Trend -- Moving 30 Year Average - NJ</c:v>
          </c:tx>
          <c:spPr>
            <a:ln w="57150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'Data -- PA Temp'!$F$11:$F$133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-- NJ Temp'!$F$9:$F$131</c:f>
              <c:numCache>
                <c:formatCode>General</c:formatCode>
                <c:ptCount val="123"/>
                <c:pt idx="0">
                  <c:v>51.600398847932553</c:v>
                </c:pt>
                <c:pt idx="1">
                  <c:v>51.610358342232104</c:v>
                </c:pt>
                <c:pt idx="2">
                  <c:v>51.621115398920672</c:v>
                </c:pt>
                <c:pt idx="3">
                  <c:v>51.632861568980111</c:v>
                </c:pt>
                <c:pt idx="4">
                  <c:v>51.6457208276817</c:v>
                </c:pt>
                <c:pt idx="5">
                  <c:v>51.659632838360899</c:v>
                </c:pt>
                <c:pt idx="6">
                  <c:v>51.674430073009241</c:v>
                </c:pt>
                <c:pt idx="7">
                  <c:v>51.689683573143881</c:v>
                </c:pt>
                <c:pt idx="8">
                  <c:v>51.704863692020226</c:v>
                </c:pt>
                <c:pt idx="9">
                  <c:v>51.719256970413795</c:v>
                </c:pt>
                <c:pt idx="10">
                  <c:v>51.731980564856883</c:v>
                </c:pt>
                <c:pt idx="11">
                  <c:v>51.74232810044191</c:v>
                </c:pt>
                <c:pt idx="12">
                  <c:v>51.749616515943295</c:v>
                </c:pt>
                <c:pt idx="13">
                  <c:v>51.752925554577658</c:v>
                </c:pt>
                <c:pt idx="14">
                  <c:v>51.752709277769483</c:v>
                </c:pt>
                <c:pt idx="15">
                  <c:v>51.757030391292709</c:v>
                </c:pt>
                <c:pt idx="16">
                  <c:v>51.787646318092712</c:v>
                </c:pt>
                <c:pt idx="17">
                  <c:v>51.829598222653964</c:v>
                </c:pt>
                <c:pt idx="18">
                  <c:v>51.876621679616477</c:v>
                </c:pt>
                <c:pt idx="19">
                  <c:v>51.920710005047596</c:v>
                </c:pt>
                <c:pt idx="20">
                  <c:v>51.95417663811412</c:v>
                </c:pt>
                <c:pt idx="21">
                  <c:v>51.973925051933819</c:v>
                </c:pt>
                <c:pt idx="22">
                  <c:v>51.979952088243842</c:v>
                </c:pt>
                <c:pt idx="23">
                  <c:v>51.977821705923489</c:v>
                </c:pt>
                <c:pt idx="24">
                  <c:v>51.979986194418792</c:v>
                </c:pt>
                <c:pt idx="25">
                  <c:v>51.994877084855943</c:v>
                </c:pt>
                <c:pt idx="26">
                  <c:v>52.025051852942461</c:v>
                </c:pt>
                <c:pt idx="27">
                  <c:v>52.070371707417635</c:v>
                </c:pt>
                <c:pt idx="28">
                  <c:v>52.125099485705945</c:v>
                </c:pt>
                <c:pt idx="29">
                  <c:v>52.183540734640204</c:v>
                </c:pt>
                <c:pt idx="30">
                  <c:v>52.2422939083242</c:v>
                </c:pt>
                <c:pt idx="31">
                  <c:v>52.299491578198428</c:v>
                </c:pt>
                <c:pt idx="32">
                  <c:v>52.35199743602292</c:v>
                </c:pt>
                <c:pt idx="33">
                  <c:v>52.391992970707129</c:v>
                </c:pt>
                <c:pt idx="34">
                  <c:v>52.418798293934749</c:v>
                </c:pt>
                <c:pt idx="35">
                  <c:v>52.435795817052956</c:v>
                </c:pt>
                <c:pt idx="36">
                  <c:v>52.449581850232825</c:v>
                </c:pt>
                <c:pt idx="37">
                  <c:v>52.46830542411486</c:v>
                </c:pt>
                <c:pt idx="38">
                  <c:v>52.495590996201571</c:v>
                </c:pt>
                <c:pt idx="39">
                  <c:v>52.531390752902745</c:v>
                </c:pt>
                <c:pt idx="40">
                  <c:v>52.571417204350908</c:v>
                </c:pt>
                <c:pt idx="41">
                  <c:v>52.607843221634511</c:v>
                </c:pt>
                <c:pt idx="42">
                  <c:v>52.63826590014969</c:v>
                </c:pt>
                <c:pt idx="43">
                  <c:v>52.662066824173174</c:v>
                </c:pt>
                <c:pt idx="44">
                  <c:v>52.68124569663</c:v>
                </c:pt>
                <c:pt idx="45">
                  <c:v>52.699089330253834</c:v>
                </c:pt>
                <c:pt idx="46">
                  <c:v>52.722928363746206</c:v>
                </c:pt>
                <c:pt idx="47">
                  <c:v>52.758044919038497</c:v>
                </c:pt>
                <c:pt idx="48">
                  <c:v>52.80620521272273</c:v>
                </c:pt>
                <c:pt idx="49">
                  <c:v>52.865349482578047</c:v>
                </c:pt>
                <c:pt idx="50">
                  <c:v>52.93059568788717</c:v>
                </c:pt>
                <c:pt idx="51">
                  <c:v>52.992891325374757</c:v>
                </c:pt>
                <c:pt idx="52">
                  <c:v>53.047528874110206</c:v>
                </c:pt>
                <c:pt idx="53">
                  <c:v>53.091759517968427</c:v>
                </c:pt>
                <c:pt idx="54">
                  <c:v>53.125865726663442</c:v>
                </c:pt>
                <c:pt idx="55">
                  <c:v>53.149062801790485</c:v>
                </c:pt>
                <c:pt idx="56">
                  <c:v>53.158830343152481</c:v>
                </c:pt>
                <c:pt idx="57">
                  <c:v>53.153688451756167</c:v>
                </c:pt>
                <c:pt idx="58">
                  <c:v>53.132506340238308</c:v>
                </c:pt>
                <c:pt idx="59">
                  <c:v>53.096401941739941</c:v>
                </c:pt>
                <c:pt idx="60">
                  <c:v>53.048613362285153</c:v>
                </c:pt>
                <c:pt idx="61">
                  <c:v>52.990395706137647</c:v>
                </c:pt>
                <c:pt idx="62">
                  <c:v>52.923760207787041</c:v>
                </c:pt>
                <c:pt idx="63">
                  <c:v>52.852857661915444</c:v>
                </c:pt>
                <c:pt idx="64">
                  <c:v>52.781798746807794</c:v>
                </c:pt>
                <c:pt idx="65">
                  <c:v>52.713854889173433</c:v>
                </c:pt>
                <c:pt idx="66">
                  <c:v>52.653757514342061</c:v>
                </c:pt>
                <c:pt idx="67">
                  <c:v>52.607375855006254</c:v>
                </c:pt>
                <c:pt idx="68">
                  <c:v>52.578352066809664</c:v>
                </c:pt>
                <c:pt idx="69">
                  <c:v>52.565455084121631</c:v>
                </c:pt>
                <c:pt idx="70">
                  <c:v>52.568524937203733</c:v>
                </c:pt>
                <c:pt idx="71">
                  <c:v>52.583494204364818</c:v>
                </c:pt>
                <c:pt idx="72">
                  <c:v>52.605248272531469</c:v>
                </c:pt>
                <c:pt idx="73">
                  <c:v>52.629269602113091</c:v>
                </c:pt>
                <c:pt idx="74">
                  <c:v>52.653826282122772</c:v>
                </c:pt>
                <c:pt idx="75">
                  <c:v>52.679397638758466</c:v>
                </c:pt>
                <c:pt idx="76">
                  <c:v>52.708789814336534</c:v>
                </c:pt>
                <c:pt idx="77">
                  <c:v>52.744186235502347</c:v>
                </c:pt>
                <c:pt idx="78">
                  <c:v>52.788023516882141</c:v>
                </c:pt>
                <c:pt idx="79">
                  <c:v>52.838539527891449</c:v>
                </c:pt>
                <c:pt idx="80">
                  <c:v>52.892806935641019</c:v>
                </c:pt>
                <c:pt idx="81">
                  <c:v>52.946234865739733</c:v>
                </c:pt>
                <c:pt idx="82">
                  <c:v>52.995908742068863</c:v>
                </c:pt>
                <c:pt idx="83">
                  <c:v>53.043514308439498</c:v>
                </c:pt>
                <c:pt idx="84">
                  <c:v>53.09016316970898</c:v>
                </c:pt>
                <c:pt idx="85">
                  <c:v>53.134177077641958</c:v>
                </c:pt>
                <c:pt idx="86">
                  <c:v>53.174722994455649</c:v>
                </c:pt>
                <c:pt idx="87">
                  <c:v>53.212868235620221</c:v>
                </c:pt>
                <c:pt idx="88">
                  <c:v>53.249840472020729</c:v>
                </c:pt>
                <c:pt idx="89">
                  <c:v>53.286563554234469</c:v>
                </c:pt>
                <c:pt idx="90">
                  <c:v>53.325493023009599</c:v>
                </c:pt>
                <c:pt idx="91">
                  <c:v>53.373244991648058</c:v>
                </c:pt>
                <c:pt idx="92">
                  <c:v>53.434477713663782</c:v>
                </c:pt>
                <c:pt idx="93">
                  <c:v>53.505824880859123</c:v>
                </c:pt>
                <c:pt idx="94">
                  <c:v>53.583377186863608</c:v>
                </c:pt>
                <c:pt idx="95">
                  <c:v>53.663851161565127</c:v>
                </c:pt>
                <c:pt idx="96">
                  <c:v>53.743038969041699</c:v>
                </c:pt>
                <c:pt idx="97">
                  <c:v>53.817053507193108</c:v>
                </c:pt>
                <c:pt idx="98">
                  <c:v>53.885527785169685</c:v>
                </c:pt>
                <c:pt idx="99">
                  <c:v>53.951071801089995</c:v>
                </c:pt>
                <c:pt idx="100">
                  <c:v>54.016008867447596</c:v>
                </c:pt>
                <c:pt idx="101">
                  <c:v>54.081984377716047</c:v>
                </c:pt>
                <c:pt idx="102">
                  <c:v>54.148835145583412</c:v>
                </c:pt>
                <c:pt idx="103">
                  <c:v>54.217711983006168</c:v>
                </c:pt>
                <c:pt idx="104">
                  <c:v>54.292318317426393</c:v>
                </c:pt>
                <c:pt idx="105">
                  <c:v>54.375437721457438</c:v>
                </c:pt>
                <c:pt idx="106">
                  <c:v>54.464537627746097</c:v>
                </c:pt>
                <c:pt idx="107">
                  <c:v>54.554610412383333</c:v>
                </c:pt>
                <c:pt idx="108">
                  <c:v>54.632545401607068</c:v>
                </c:pt>
                <c:pt idx="109">
                  <c:v>54.700472108628375</c:v>
                </c:pt>
                <c:pt idx="110">
                  <c:v>54.768097551243606</c:v>
                </c:pt>
                <c:pt idx="111">
                  <c:v>54.836997730883176</c:v>
                </c:pt>
                <c:pt idx="112">
                  <c:v>54.906945365287932</c:v>
                </c:pt>
                <c:pt idx="113">
                  <c:v>54.977402397895709</c:v>
                </c:pt>
                <c:pt idx="114">
                  <c:v>55.047950443061204</c:v>
                </c:pt>
                <c:pt idx="115">
                  <c:v>55.118342352136935</c:v>
                </c:pt>
                <c:pt idx="116">
                  <c:v>55.188509535649793</c:v>
                </c:pt>
                <c:pt idx="117">
                  <c:v>55.258310927300421</c:v>
                </c:pt>
                <c:pt idx="118">
                  <c:v>55.327434973532029</c:v>
                </c:pt>
                <c:pt idx="119">
                  <c:v>55.395419106919185</c:v>
                </c:pt>
                <c:pt idx="120">
                  <c:v>55.462056966416725</c:v>
                </c:pt>
                <c:pt idx="121">
                  <c:v>55.527561557342779</c:v>
                </c:pt>
                <c:pt idx="122">
                  <c:v>55.592237541859276</c:v>
                </c:pt>
              </c:numCache>
            </c:numRef>
          </c:val>
          <c:smooth val="0"/>
        </c:ser>
        <c:ser>
          <c:idx val="5"/>
          <c:order val="4"/>
          <c:tx>
            <c:v>1901-2000 PA Mean Temperature = 51.2 F</c:v>
          </c:tx>
          <c:spPr>
            <a:ln w="6350">
              <a:solidFill>
                <a:schemeClr val="tx1">
                  <a:lumMod val="95000"/>
                  <a:lumOff val="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'Data -- PA Temp'!$I$11:$I$133</c:f>
              <c:numCache>
                <c:formatCode>General</c:formatCode>
                <c:ptCount val="123"/>
                <c:pt idx="0">
                  <c:v>51.185999999999986</c:v>
                </c:pt>
                <c:pt idx="1">
                  <c:v>51.185999999999986</c:v>
                </c:pt>
                <c:pt idx="2">
                  <c:v>51.185999999999986</c:v>
                </c:pt>
                <c:pt idx="3">
                  <c:v>51.185999999999986</c:v>
                </c:pt>
                <c:pt idx="4">
                  <c:v>51.185999999999986</c:v>
                </c:pt>
                <c:pt idx="5">
                  <c:v>51.185999999999986</c:v>
                </c:pt>
                <c:pt idx="6">
                  <c:v>51.185999999999986</c:v>
                </c:pt>
                <c:pt idx="7">
                  <c:v>51.185999999999986</c:v>
                </c:pt>
                <c:pt idx="8">
                  <c:v>51.185999999999986</c:v>
                </c:pt>
                <c:pt idx="9">
                  <c:v>51.185999999999986</c:v>
                </c:pt>
                <c:pt idx="10">
                  <c:v>51.185999999999986</c:v>
                </c:pt>
                <c:pt idx="11">
                  <c:v>51.185999999999986</c:v>
                </c:pt>
                <c:pt idx="12">
                  <c:v>51.185999999999986</c:v>
                </c:pt>
                <c:pt idx="13">
                  <c:v>51.185999999999986</c:v>
                </c:pt>
                <c:pt idx="14">
                  <c:v>51.185999999999986</c:v>
                </c:pt>
                <c:pt idx="15">
                  <c:v>51.185999999999986</c:v>
                </c:pt>
                <c:pt idx="16">
                  <c:v>51.185999999999986</c:v>
                </c:pt>
                <c:pt idx="17">
                  <c:v>51.185999999999986</c:v>
                </c:pt>
                <c:pt idx="18">
                  <c:v>51.185999999999986</c:v>
                </c:pt>
                <c:pt idx="19">
                  <c:v>51.185999999999986</c:v>
                </c:pt>
                <c:pt idx="20">
                  <c:v>51.185999999999986</c:v>
                </c:pt>
                <c:pt idx="21">
                  <c:v>51.185999999999986</c:v>
                </c:pt>
                <c:pt idx="22">
                  <c:v>51.185999999999986</c:v>
                </c:pt>
                <c:pt idx="23">
                  <c:v>51.185999999999986</c:v>
                </c:pt>
                <c:pt idx="24">
                  <c:v>51.185999999999986</c:v>
                </c:pt>
                <c:pt idx="25">
                  <c:v>51.185999999999986</c:v>
                </c:pt>
                <c:pt idx="26">
                  <c:v>51.185999999999986</c:v>
                </c:pt>
                <c:pt idx="27">
                  <c:v>51.185999999999986</c:v>
                </c:pt>
                <c:pt idx="28">
                  <c:v>51.185999999999986</c:v>
                </c:pt>
                <c:pt idx="29">
                  <c:v>51.185999999999986</c:v>
                </c:pt>
                <c:pt idx="30">
                  <c:v>51.185999999999986</c:v>
                </c:pt>
                <c:pt idx="31">
                  <c:v>51.185999999999986</c:v>
                </c:pt>
                <c:pt idx="32">
                  <c:v>51.185999999999986</c:v>
                </c:pt>
                <c:pt idx="33">
                  <c:v>51.185999999999986</c:v>
                </c:pt>
                <c:pt idx="34">
                  <c:v>51.185999999999986</c:v>
                </c:pt>
                <c:pt idx="35">
                  <c:v>51.185999999999986</c:v>
                </c:pt>
                <c:pt idx="36">
                  <c:v>51.185999999999986</c:v>
                </c:pt>
                <c:pt idx="37">
                  <c:v>51.185999999999986</c:v>
                </c:pt>
                <c:pt idx="38">
                  <c:v>51.185999999999986</c:v>
                </c:pt>
                <c:pt idx="39">
                  <c:v>51.185999999999986</c:v>
                </c:pt>
                <c:pt idx="40">
                  <c:v>51.185999999999986</c:v>
                </c:pt>
                <c:pt idx="41">
                  <c:v>51.185999999999986</c:v>
                </c:pt>
                <c:pt idx="42">
                  <c:v>51.185999999999986</c:v>
                </c:pt>
                <c:pt idx="43">
                  <c:v>51.185999999999986</c:v>
                </c:pt>
                <c:pt idx="44">
                  <c:v>51.185999999999986</c:v>
                </c:pt>
                <c:pt idx="45">
                  <c:v>51.185999999999986</c:v>
                </c:pt>
                <c:pt idx="46">
                  <c:v>51.185999999999986</c:v>
                </c:pt>
                <c:pt idx="47">
                  <c:v>51.185999999999986</c:v>
                </c:pt>
                <c:pt idx="48">
                  <c:v>51.185999999999986</c:v>
                </c:pt>
                <c:pt idx="49">
                  <c:v>51.185999999999986</c:v>
                </c:pt>
                <c:pt idx="50">
                  <c:v>51.185999999999986</c:v>
                </c:pt>
                <c:pt idx="51">
                  <c:v>51.185999999999986</c:v>
                </c:pt>
                <c:pt idx="52">
                  <c:v>51.185999999999986</c:v>
                </c:pt>
                <c:pt idx="53">
                  <c:v>51.185999999999986</c:v>
                </c:pt>
                <c:pt idx="54">
                  <c:v>51.185999999999986</c:v>
                </c:pt>
                <c:pt idx="55">
                  <c:v>51.185999999999986</c:v>
                </c:pt>
                <c:pt idx="56">
                  <c:v>51.185999999999986</c:v>
                </c:pt>
                <c:pt idx="57">
                  <c:v>51.185999999999986</c:v>
                </c:pt>
                <c:pt idx="58">
                  <c:v>51.185999999999986</c:v>
                </c:pt>
                <c:pt idx="59">
                  <c:v>51.185999999999986</c:v>
                </c:pt>
                <c:pt idx="60">
                  <c:v>51.185999999999986</c:v>
                </c:pt>
                <c:pt idx="61">
                  <c:v>51.185999999999986</c:v>
                </c:pt>
                <c:pt idx="62">
                  <c:v>51.185999999999986</c:v>
                </c:pt>
                <c:pt idx="63">
                  <c:v>51.185999999999986</c:v>
                </c:pt>
                <c:pt idx="64">
                  <c:v>51.185999999999986</c:v>
                </c:pt>
                <c:pt idx="65">
                  <c:v>51.185999999999986</c:v>
                </c:pt>
                <c:pt idx="66">
                  <c:v>51.185999999999986</c:v>
                </c:pt>
                <c:pt idx="67">
                  <c:v>51.185999999999986</c:v>
                </c:pt>
                <c:pt idx="68">
                  <c:v>51.185999999999986</c:v>
                </c:pt>
                <c:pt idx="69">
                  <c:v>51.185999999999986</c:v>
                </c:pt>
                <c:pt idx="70">
                  <c:v>51.185999999999986</c:v>
                </c:pt>
                <c:pt idx="71">
                  <c:v>51.185999999999986</c:v>
                </c:pt>
                <c:pt idx="72">
                  <c:v>51.185999999999986</c:v>
                </c:pt>
                <c:pt idx="73">
                  <c:v>51.185999999999986</c:v>
                </c:pt>
                <c:pt idx="74">
                  <c:v>51.185999999999986</c:v>
                </c:pt>
                <c:pt idx="75">
                  <c:v>51.185999999999986</c:v>
                </c:pt>
                <c:pt idx="76">
                  <c:v>51.185999999999986</c:v>
                </c:pt>
                <c:pt idx="77">
                  <c:v>51.185999999999986</c:v>
                </c:pt>
                <c:pt idx="78">
                  <c:v>51.185999999999986</c:v>
                </c:pt>
                <c:pt idx="79">
                  <c:v>51.185999999999986</c:v>
                </c:pt>
                <c:pt idx="80">
                  <c:v>51.185999999999986</c:v>
                </c:pt>
                <c:pt idx="81">
                  <c:v>51.185999999999986</c:v>
                </c:pt>
                <c:pt idx="82">
                  <c:v>51.185999999999986</c:v>
                </c:pt>
                <c:pt idx="83">
                  <c:v>51.185999999999986</c:v>
                </c:pt>
                <c:pt idx="84">
                  <c:v>51.185999999999986</c:v>
                </c:pt>
                <c:pt idx="85">
                  <c:v>51.185999999999986</c:v>
                </c:pt>
                <c:pt idx="86">
                  <c:v>51.185999999999986</c:v>
                </c:pt>
                <c:pt idx="87">
                  <c:v>51.185999999999986</c:v>
                </c:pt>
                <c:pt idx="88">
                  <c:v>51.185999999999986</c:v>
                </c:pt>
                <c:pt idx="89">
                  <c:v>51.185999999999986</c:v>
                </c:pt>
                <c:pt idx="90">
                  <c:v>51.185999999999986</c:v>
                </c:pt>
                <c:pt idx="91">
                  <c:v>51.185999999999986</c:v>
                </c:pt>
                <c:pt idx="92">
                  <c:v>51.185999999999986</c:v>
                </c:pt>
                <c:pt idx="93">
                  <c:v>51.185999999999986</c:v>
                </c:pt>
                <c:pt idx="94">
                  <c:v>51.185999999999986</c:v>
                </c:pt>
                <c:pt idx="95">
                  <c:v>51.185999999999986</c:v>
                </c:pt>
                <c:pt idx="96">
                  <c:v>51.185999999999986</c:v>
                </c:pt>
                <c:pt idx="97">
                  <c:v>51.185999999999986</c:v>
                </c:pt>
                <c:pt idx="98">
                  <c:v>51.185999999999986</c:v>
                </c:pt>
                <c:pt idx="99">
                  <c:v>51.185999999999986</c:v>
                </c:pt>
                <c:pt idx="100">
                  <c:v>51.185999999999986</c:v>
                </c:pt>
                <c:pt idx="101">
                  <c:v>51.185999999999986</c:v>
                </c:pt>
                <c:pt idx="102">
                  <c:v>51.185999999999986</c:v>
                </c:pt>
                <c:pt idx="103">
                  <c:v>51.185999999999986</c:v>
                </c:pt>
                <c:pt idx="104">
                  <c:v>51.185999999999986</c:v>
                </c:pt>
                <c:pt idx="105">
                  <c:v>51.185999999999986</c:v>
                </c:pt>
                <c:pt idx="106">
                  <c:v>51.185999999999986</c:v>
                </c:pt>
                <c:pt idx="107">
                  <c:v>51.185999999999986</c:v>
                </c:pt>
                <c:pt idx="108">
                  <c:v>51.185999999999986</c:v>
                </c:pt>
                <c:pt idx="109">
                  <c:v>51.185999999999986</c:v>
                </c:pt>
                <c:pt idx="110">
                  <c:v>51.185999999999986</c:v>
                </c:pt>
                <c:pt idx="111">
                  <c:v>51.185999999999986</c:v>
                </c:pt>
                <c:pt idx="112">
                  <c:v>51.185999999999986</c:v>
                </c:pt>
                <c:pt idx="113">
                  <c:v>51.185999999999986</c:v>
                </c:pt>
                <c:pt idx="114">
                  <c:v>51.185999999999986</c:v>
                </c:pt>
                <c:pt idx="115">
                  <c:v>51.185999999999986</c:v>
                </c:pt>
                <c:pt idx="116">
                  <c:v>51.185999999999986</c:v>
                </c:pt>
                <c:pt idx="117">
                  <c:v>51.185999999999986</c:v>
                </c:pt>
                <c:pt idx="118">
                  <c:v>51.185999999999986</c:v>
                </c:pt>
                <c:pt idx="119">
                  <c:v>51.185999999999986</c:v>
                </c:pt>
                <c:pt idx="120">
                  <c:v>51.185999999999986</c:v>
                </c:pt>
                <c:pt idx="121">
                  <c:v>51.185999999999986</c:v>
                </c:pt>
                <c:pt idx="122">
                  <c:v>51.185999999999986</c:v>
                </c:pt>
              </c:numCache>
            </c:numRef>
          </c:val>
          <c:smooth val="0"/>
        </c:ser>
        <c:ser>
          <c:idx val="0"/>
          <c:order val="5"/>
          <c:tx>
            <c:v>1901-2000 NJ Mean Temperature = 53.0 F</c:v>
          </c:tx>
          <c:spPr>
            <a:ln w="9525">
              <a:solidFill>
                <a:schemeClr val="tx1"/>
              </a:solidFill>
              <a:prstDash val="lgDash"/>
            </a:ln>
          </c:spPr>
          <c:marker>
            <c:symbol val="none"/>
          </c:marker>
          <c:val>
            <c:numRef>
              <c:f>'Data -- NJ Temp'!$G$9:$G$131</c:f>
              <c:numCache>
                <c:formatCode>General</c:formatCode>
                <c:ptCount val="123"/>
                <c:pt idx="0">
                  <c:v>52.997560975609751</c:v>
                </c:pt>
                <c:pt idx="1">
                  <c:v>52.997560975609751</c:v>
                </c:pt>
                <c:pt idx="2">
                  <c:v>52.997560975609751</c:v>
                </c:pt>
                <c:pt idx="3">
                  <c:v>52.997560975609751</c:v>
                </c:pt>
                <c:pt idx="4">
                  <c:v>52.997560975609751</c:v>
                </c:pt>
                <c:pt idx="5">
                  <c:v>52.997560975609751</c:v>
                </c:pt>
                <c:pt idx="6">
                  <c:v>52.997560975609751</c:v>
                </c:pt>
                <c:pt idx="7">
                  <c:v>52.997560975609751</c:v>
                </c:pt>
                <c:pt idx="8">
                  <c:v>52.997560975609751</c:v>
                </c:pt>
                <c:pt idx="9">
                  <c:v>52.997560975609751</c:v>
                </c:pt>
                <c:pt idx="10">
                  <c:v>52.997560975609751</c:v>
                </c:pt>
                <c:pt idx="11">
                  <c:v>52.997560975609751</c:v>
                </c:pt>
                <c:pt idx="12">
                  <c:v>52.997560975609751</c:v>
                </c:pt>
                <c:pt idx="13">
                  <c:v>52.997560975609751</c:v>
                </c:pt>
                <c:pt idx="14">
                  <c:v>52.997560975609751</c:v>
                </c:pt>
                <c:pt idx="15">
                  <c:v>52.997560975609751</c:v>
                </c:pt>
                <c:pt idx="16">
                  <c:v>52.997560975609751</c:v>
                </c:pt>
                <c:pt idx="17">
                  <c:v>52.997560975609751</c:v>
                </c:pt>
                <c:pt idx="18">
                  <c:v>52.997560975609751</c:v>
                </c:pt>
                <c:pt idx="19">
                  <c:v>52.997560975609751</c:v>
                </c:pt>
                <c:pt idx="20">
                  <c:v>52.997560975609751</c:v>
                </c:pt>
                <c:pt idx="21">
                  <c:v>52.997560975609751</c:v>
                </c:pt>
                <c:pt idx="22">
                  <c:v>52.997560975609751</c:v>
                </c:pt>
                <c:pt idx="23">
                  <c:v>52.997560975609751</c:v>
                </c:pt>
                <c:pt idx="24">
                  <c:v>52.997560975609751</c:v>
                </c:pt>
                <c:pt idx="25">
                  <c:v>52.997560975609751</c:v>
                </c:pt>
                <c:pt idx="26">
                  <c:v>52.997560975609751</c:v>
                </c:pt>
                <c:pt idx="27">
                  <c:v>52.997560975609751</c:v>
                </c:pt>
                <c:pt idx="28">
                  <c:v>52.997560975609751</c:v>
                </c:pt>
                <c:pt idx="29">
                  <c:v>52.997560975609751</c:v>
                </c:pt>
                <c:pt idx="30">
                  <c:v>52.997560975609751</c:v>
                </c:pt>
                <c:pt idx="31">
                  <c:v>52.997560975609751</c:v>
                </c:pt>
                <c:pt idx="32">
                  <c:v>52.997560975609751</c:v>
                </c:pt>
                <c:pt idx="33">
                  <c:v>52.997560975609751</c:v>
                </c:pt>
                <c:pt idx="34">
                  <c:v>52.997560975609751</c:v>
                </c:pt>
                <c:pt idx="35">
                  <c:v>52.997560975609751</c:v>
                </c:pt>
                <c:pt idx="36">
                  <c:v>52.997560975609751</c:v>
                </c:pt>
                <c:pt idx="37">
                  <c:v>52.997560975609751</c:v>
                </c:pt>
                <c:pt idx="38">
                  <c:v>52.997560975609751</c:v>
                </c:pt>
                <c:pt idx="39">
                  <c:v>52.997560975609751</c:v>
                </c:pt>
                <c:pt idx="40">
                  <c:v>52.997560975609751</c:v>
                </c:pt>
                <c:pt idx="41">
                  <c:v>52.997560975609751</c:v>
                </c:pt>
                <c:pt idx="42">
                  <c:v>52.997560975609751</c:v>
                </c:pt>
                <c:pt idx="43">
                  <c:v>52.997560975609751</c:v>
                </c:pt>
                <c:pt idx="44">
                  <c:v>52.997560975609751</c:v>
                </c:pt>
                <c:pt idx="45">
                  <c:v>52.997560975609751</c:v>
                </c:pt>
                <c:pt idx="46">
                  <c:v>52.997560975609751</c:v>
                </c:pt>
                <c:pt idx="47">
                  <c:v>52.997560975609751</c:v>
                </c:pt>
                <c:pt idx="48">
                  <c:v>52.997560975609751</c:v>
                </c:pt>
                <c:pt idx="49">
                  <c:v>52.997560975609751</c:v>
                </c:pt>
                <c:pt idx="50">
                  <c:v>52.997560975609751</c:v>
                </c:pt>
                <c:pt idx="51">
                  <c:v>52.997560975609751</c:v>
                </c:pt>
                <c:pt idx="52">
                  <c:v>52.997560975609751</c:v>
                </c:pt>
                <c:pt idx="53">
                  <c:v>52.997560975609751</c:v>
                </c:pt>
                <c:pt idx="54">
                  <c:v>52.997560975609751</c:v>
                </c:pt>
                <c:pt idx="55">
                  <c:v>52.997560975609751</c:v>
                </c:pt>
                <c:pt idx="56">
                  <c:v>52.997560975609751</c:v>
                </c:pt>
                <c:pt idx="57">
                  <c:v>52.997560975609751</c:v>
                </c:pt>
                <c:pt idx="58">
                  <c:v>52.997560975609751</c:v>
                </c:pt>
                <c:pt idx="59">
                  <c:v>52.997560975609751</c:v>
                </c:pt>
                <c:pt idx="60">
                  <c:v>52.997560975609751</c:v>
                </c:pt>
                <c:pt idx="61">
                  <c:v>52.997560975609751</c:v>
                </c:pt>
                <c:pt idx="62">
                  <c:v>52.997560975609751</c:v>
                </c:pt>
                <c:pt idx="63">
                  <c:v>52.997560975609751</c:v>
                </c:pt>
                <c:pt idx="64">
                  <c:v>52.997560975609751</c:v>
                </c:pt>
                <c:pt idx="65">
                  <c:v>52.997560975609751</c:v>
                </c:pt>
                <c:pt idx="66">
                  <c:v>52.997560975609751</c:v>
                </c:pt>
                <c:pt idx="67">
                  <c:v>52.997560975609751</c:v>
                </c:pt>
                <c:pt idx="68">
                  <c:v>52.997560975609751</c:v>
                </c:pt>
                <c:pt idx="69">
                  <c:v>52.997560975609751</c:v>
                </c:pt>
                <c:pt idx="70">
                  <c:v>52.997560975609751</c:v>
                </c:pt>
                <c:pt idx="71">
                  <c:v>52.997560975609751</c:v>
                </c:pt>
                <c:pt idx="72">
                  <c:v>52.997560975609751</c:v>
                </c:pt>
                <c:pt idx="73">
                  <c:v>52.997560975609751</c:v>
                </c:pt>
                <c:pt idx="74">
                  <c:v>52.997560975609751</c:v>
                </c:pt>
                <c:pt idx="75">
                  <c:v>52.997560975609751</c:v>
                </c:pt>
                <c:pt idx="76">
                  <c:v>52.997560975609751</c:v>
                </c:pt>
                <c:pt idx="77">
                  <c:v>52.997560975609751</c:v>
                </c:pt>
                <c:pt idx="78">
                  <c:v>52.997560975609751</c:v>
                </c:pt>
                <c:pt idx="79">
                  <c:v>52.997560975609751</c:v>
                </c:pt>
                <c:pt idx="80">
                  <c:v>52.997560975609751</c:v>
                </c:pt>
                <c:pt idx="81">
                  <c:v>52.997560975609751</c:v>
                </c:pt>
                <c:pt idx="82">
                  <c:v>52.997560975609751</c:v>
                </c:pt>
                <c:pt idx="83">
                  <c:v>52.997560975609751</c:v>
                </c:pt>
                <c:pt idx="84">
                  <c:v>52.997560975609751</c:v>
                </c:pt>
                <c:pt idx="85">
                  <c:v>52.997560975609751</c:v>
                </c:pt>
                <c:pt idx="86">
                  <c:v>52.997560975609751</c:v>
                </c:pt>
                <c:pt idx="87">
                  <c:v>52.997560975609751</c:v>
                </c:pt>
                <c:pt idx="88">
                  <c:v>52.997560975609751</c:v>
                </c:pt>
                <c:pt idx="89">
                  <c:v>52.997560975609751</c:v>
                </c:pt>
                <c:pt idx="90">
                  <c:v>52.997560975609751</c:v>
                </c:pt>
                <c:pt idx="91">
                  <c:v>52.997560975609751</c:v>
                </c:pt>
                <c:pt idx="92">
                  <c:v>52.997560975609751</c:v>
                </c:pt>
                <c:pt idx="93">
                  <c:v>52.997560975609751</c:v>
                </c:pt>
                <c:pt idx="94">
                  <c:v>52.997560975609751</c:v>
                </c:pt>
                <c:pt idx="95">
                  <c:v>52.997560975609751</c:v>
                </c:pt>
                <c:pt idx="96">
                  <c:v>52.997560975609751</c:v>
                </c:pt>
                <c:pt idx="97">
                  <c:v>52.997560975609751</c:v>
                </c:pt>
                <c:pt idx="98">
                  <c:v>52.997560975609751</c:v>
                </c:pt>
                <c:pt idx="99">
                  <c:v>52.997560975609751</c:v>
                </c:pt>
                <c:pt idx="100">
                  <c:v>52.997560975609751</c:v>
                </c:pt>
                <c:pt idx="101">
                  <c:v>52.997560975609751</c:v>
                </c:pt>
                <c:pt idx="102">
                  <c:v>52.997560975609751</c:v>
                </c:pt>
                <c:pt idx="103">
                  <c:v>52.997560975609751</c:v>
                </c:pt>
                <c:pt idx="104">
                  <c:v>52.997560975609751</c:v>
                </c:pt>
                <c:pt idx="105">
                  <c:v>52.997560975609751</c:v>
                </c:pt>
                <c:pt idx="106">
                  <c:v>52.997560975609751</c:v>
                </c:pt>
                <c:pt idx="107">
                  <c:v>52.997560975609751</c:v>
                </c:pt>
                <c:pt idx="108">
                  <c:v>52.997560975609751</c:v>
                </c:pt>
                <c:pt idx="109">
                  <c:v>52.997560975609751</c:v>
                </c:pt>
                <c:pt idx="110">
                  <c:v>52.997560975609751</c:v>
                </c:pt>
                <c:pt idx="111">
                  <c:v>52.997560975609751</c:v>
                </c:pt>
                <c:pt idx="112">
                  <c:v>52.997560975609751</c:v>
                </c:pt>
                <c:pt idx="113">
                  <c:v>52.997560975609751</c:v>
                </c:pt>
                <c:pt idx="114">
                  <c:v>52.997560975609751</c:v>
                </c:pt>
                <c:pt idx="115">
                  <c:v>52.997560975609751</c:v>
                </c:pt>
                <c:pt idx="116">
                  <c:v>52.997560975609751</c:v>
                </c:pt>
                <c:pt idx="117">
                  <c:v>52.997560975609751</c:v>
                </c:pt>
                <c:pt idx="118">
                  <c:v>52.997560975609751</c:v>
                </c:pt>
                <c:pt idx="119">
                  <c:v>52.997560975609751</c:v>
                </c:pt>
                <c:pt idx="120">
                  <c:v>52.997560975609751</c:v>
                </c:pt>
                <c:pt idx="121">
                  <c:v>52.997560975609751</c:v>
                </c:pt>
                <c:pt idx="122">
                  <c:v>52.997560975609751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640640"/>
        <c:axId val="80646528"/>
      </c:lineChart>
      <c:catAx>
        <c:axId val="8064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0646528"/>
        <c:crosses val="autoZero"/>
        <c:auto val="1"/>
        <c:lblAlgn val="ctr"/>
        <c:lblOffset val="100"/>
        <c:tickLblSkip val="5"/>
        <c:noMultiLvlLbl val="0"/>
      </c:catAx>
      <c:valAx>
        <c:axId val="80646528"/>
        <c:scaling>
          <c:orientation val="minMax"/>
          <c:max val="58"/>
          <c:min val="49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Average Annual Temperature</a:t>
                </a:r>
                <a:r>
                  <a:rPr lang="en-US" sz="1600" baseline="0"/>
                  <a:t> °F</a:t>
                </a:r>
                <a:endParaRPr lang="en-US" sz="1600"/>
              </a:p>
            </c:rich>
          </c:tx>
          <c:layout>
            <c:manualLayout>
              <c:xMode val="edge"/>
              <c:yMode val="edge"/>
              <c:x val="9.4893332337077901E-3"/>
              <c:y val="0.2601119860017497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80640640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9.210297016164859E-2"/>
          <c:y val="4.6417561441183489E-2"/>
          <c:w val="0.48425002116272942"/>
          <c:h val="0.28286009703332538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00987817312464"/>
          <c:y val="2.0409130676847211E-2"/>
          <c:w val="0.85146835851476788"/>
          <c:h val="0.89852700230652982"/>
        </c:manualLayout>
      </c:layout>
      <c:lineChart>
        <c:grouping val="standard"/>
        <c:varyColors val="0"/>
        <c:ser>
          <c:idx val="3"/>
          <c:order val="0"/>
          <c:tx>
            <c:v>Average Annual Temperature</c:v>
          </c:tx>
          <c:spPr>
            <a:ln>
              <a:noFill/>
            </a:ln>
          </c:spPr>
          <c:marker>
            <c:symbol val="square"/>
            <c:size val="13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cat>
            <c:numRef>
              <c:f>'Data -- NJ-PA Average Temp'!$E$9:$E$131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-- NJ-PA Average Temp'!$D$9:$D$131</c:f>
              <c:numCache>
                <c:formatCode>General</c:formatCode>
                <c:ptCount val="123"/>
                <c:pt idx="0">
                  <c:v>50.55</c:v>
                </c:pt>
                <c:pt idx="1">
                  <c:v>51.55</c:v>
                </c:pt>
                <c:pt idx="2">
                  <c:v>51.400000000000006</c:v>
                </c:pt>
                <c:pt idx="3">
                  <c:v>52.55</c:v>
                </c:pt>
                <c:pt idx="4">
                  <c:v>51.099999999999994</c:v>
                </c:pt>
                <c:pt idx="5">
                  <c:v>52.650000000000006</c:v>
                </c:pt>
                <c:pt idx="6">
                  <c:v>50.55</c:v>
                </c:pt>
                <c:pt idx="7">
                  <c:v>51.25</c:v>
                </c:pt>
                <c:pt idx="8">
                  <c:v>51.05</c:v>
                </c:pt>
                <c:pt idx="9">
                  <c:v>48.55</c:v>
                </c:pt>
                <c:pt idx="10">
                  <c:v>50.5</c:v>
                </c:pt>
                <c:pt idx="11">
                  <c:v>52.2</c:v>
                </c:pt>
                <c:pt idx="12">
                  <c:v>49.35</c:v>
                </c:pt>
                <c:pt idx="13">
                  <c:v>51.85</c:v>
                </c:pt>
                <c:pt idx="14">
                  <c:v>51.2</c:v>
                </c:pt>
                <c:pt idx="15">
                  <c:v>51.05</c:v>
                </c:pt>
                <c:pt idx="16">
                  <c:v>51.95</c:v>
                </c:pt>
                <c:pt idx="17">
                  <c:v>50.599999999999994</c:v>
                </c:pt>
                <c:pt idx="18">
                  <c:v>53.35</c:v>
                </c:pt>
                <c:pt idx="19">
                  <c:v>50.45</c:v>
                </c:pt>
                <c:pt idx="20">
                  <c:v>51.5</c:v>
                </c:pt>
                <c:pt idx="21">
                  <c:v>50.6</c:v>
                </c:pt>
                <c:pt idx="22">
                  <c:v>49.05</c:v>
                </c:pt>
                <c:pt idx="23">
                  <c:v>51.25</c:v>
                </c:pt>
                <c:pt idx="24">
                  <c:v>52.5</c:v>
                </c:pt>
                <c:pt idx="25">
                  <c:v>50.8</c:v>
                </c:pt>
                <c:pt idx="26">
                  <c:v>53.7</c:v>
                </c:pt>
                <c:pt idx="27">
                  <c:v>52.150000000000006</c:v>
                </c:pt>
                <c:pt idx="28">
                  <c:v>51.5</c:v>
                </c:pt>
                <c:pt idx="29">
                  <c:v>50.05</c:v>
                </c:pt>
                <c:pt idx="30">
                  <c:v>51.6</c:v>
                </c:pt>
                <c:pt idx="31">
                  <c:v>49.599999999999994</c:v>
                </c:pt>
                <c:pt idx="32">
                  <c:v>51.6</c:v>
                </c:pt>
                <c:pt idx="33">
                  <c:v>51.45</c:v>
                </c:pt>
                <c:pt idx="34">
                  <c:v>51.85</c:v>
                </c:pt>
                <c:pt idx="35">
                  <c:v>52.35</c:v>
                </c:pt>
                <c:pt idx="36">
                  <c:v>53.85</c:v>
                </c:pt>
                <c:pt idx="37">
                  <c:v>52.8</c:v>
                </c:pt>
                <c:pt idx="38">
                  <c:v>52.5</c:v>
                </c:pt>
                <c:pt idx="39">
                  <c:v>51.1</c:v>
                </c:pt>
                <c:pt idx="40">
                  <c:v>51.05</c:v>
                </c:pt>
                <c:pt idx="41">
                  <c:v>51.55</c:v>
                </c:pt>
                <c:pt idx="42">
                  <c:v>52.099999999999994</c:v>
                </c:pt>
                <c:pt idx="43">
                  <c:v>52.75</c:v>
                </c:pt>
                <c:pt idx="44">
                  <c:v>52.400000000000006</c:v>
                </c:pt>
                <c:pt idx="45">
                  <c:v>49.400000000000006</c:v>
                </c:pt>
                <c:pt idx="46">
                  <c:v>52.45</c:v>
                </c:pt>
                <c:pt idx="47">
                  <c:v>52</c:v>
                </c:pt>
                <c:pt idx="48">
                  <c:v>51.5</c:v>
                </c:pt>
                <c:pt idx="49">
                  <c:v>51.95</c:v>
                </c:pt>
                <c:pt idx="50">
                  <c:v>51.95</c:v>
                </c:pt>
                <c:pt idx="51">
                  <c:v>53.05</c:v>
                </c:pt>
                <c:pt idx="52">
                  <c:v>51.65</c:v>
                </c:pt>
                <c:pt idx="53">
                  <c:v>51.65</c:v>
                </c:pt>
                <c:pt idx="54">
                  <c:v>54.15</c:v>
                </c:pt>
                <c:pt idx="55">
                  <c:v>51.5</c:v>
                </c:pt>
                <c:pt idx="56">
                  <c:v>52.45</c:v>
                </c:pt>
                <c:pt idx="57">
                  <c:v>52.900000000000006</c:v>
                </c:pt>
                <c:pt idx="58">
                  <c:v>53.900000000000006</c:v>
                </c:pt>
                <c:pt idx="59">
                  <c:v>52.7</c:v>
                </c:pt>
                <c:pt idx="60">
                  <c:v>52.45</c:v>
                </c:pt>
                <c:pt idx="61">
                  <c:v>51.7</c:v>
                </c:pt>
                <c:pt idx="62">
                  <c:v>52.85</c:v>
                </c:pt>
                <c:pt idx="63">
                  <c:v>50.4</c:v>
                </c:pt>
                <c:pt idx="64">
                  <c:v>53.35</c:v>
                </c:pt>
                <c:pt idx="65">
                  <c:v>51.45</c:v>
                </c:pt>
                <c:pt idx="66">
                  <c:v>51.85</c:v>
                </c:pt>
                <c:pt idx="67">
                  <c:v>50.65</c:v>
                </c:pt>
                <c:pt idx="68">
                  <c:v>50.8</c:v>
                </c:pt>
                <c:pt idx="69">
                  <c:v>52</c:v>
                </c:pt>
                <c:pt idx="70">
                  <c:v>51.5</c:v>
                </c:pt>
                <c:pt idx="71">
                  <c:v>51.5</c:v>
                </c:pt>
                <c:pt idx="72">
                  <c:v>50.75</c:v>
                </c:pt>
                <c:pt idx="73">
                  <c:v>51.8</c:v>
                </c:pt>
                <c:pt idx="74">
                  <c:v>51.7</c:v>
                </c:pt>
                <c:pt idx="75">
                  <c:v>51.900000000000006</c:v>
                </c:pt>
                <c:pt idx="76">
                  <c:v>52.45</c:v>
                </c:pt>
                <c:pt idx="77">
                  <c:v>51.35</c:v>
                </c:pt>
                <c:pt idx="78">
                  <c:v>53.75</c:v>
                </c:pt>
                <c:pt idx="79">
                  <c:v>52.55</c:v>
                </c:pt>
                <c:pt idx="80">
                  <c:v>53.1</c:v>
                </c:pt>
                <c:pt idx="81">
                  <c:v>51.6</c:v>
                </c:pt>
                <c:pt idx="82">
                  <c:v>52.25</c:v>
                </c:pt>
                <c:pt idx="83">
                  <c:v>50.7</c:v>
                </c:pt>
                <c:pt idx="84">
                  <c:v>51.85</c:v>
                </c:pt>
                <c:pt idx="85">
                  <c:v>52.099999999999994</c:v>
                </c:pt>
                <c:pt idx="86">
                  <c:v>51.8</c:v>
                </c:pt>
                <c:pt idx="87">
                  <c:v>51.85</c:v>
                </c:pt>
                <c:pt idx="88">
                  <c:v>52.9</c:v>
                </c:pt>
                <c:pt idx="89">
                  <c:v>52.55</c:v>
                </c:pt>
                <c:pt idx="90">
                  <c:v>53</c:v>
                </c:pt>
                <c:pt idx="91">
                  <c:v>52.75</c:v>
                </c:pt>
                <c:pt idx="92">
                  <c:v>52.9</c:v>
                </c:pt>
                <c:pt idx="93">
                  <c:v>52</c:v>
                </c:pt>
                <c:pt idx="94">
                  <c:v>51.85</c:v>
                </c:pt>
                <c:pt idx="95">
                  <c:v>54.85</c:v>
                </c:pt>
                <c:pt idx="96">
                  <c:v>54.7</c:v>
                </c:pt>
                <c:pt idx="97">
                  <c:v>51.65</c:v>
                </c:pt>
                <c:pt idx="98">
                  <c:v>52.65</c:v>
                </c:pt>
                <c:pt idx="99">
                  <c:v>52.5</c:v>
                </c:pt>
                <c:pt idx="100">
                  <c:v>52.85</c:v>
                </c:pt>
                <c:pt idx="101">
                  <c:v>51.8</c:v>
                </c:pt>
                <c:pt idx="102">
                  <c:v>52.45</c:v>
                </c:pt>
                <c:pt idx="103">
                  <c:v>55.599999999999994</c:v>
                </c:pt>
                <c:pt idx="104">
                  <c:v>54.400000000000006</c:v>
                </c:pt>
                <c:pt idx="105">
                  <c:v>52.6</c:v>
                </c:pt>
                <c:pt idx="106">
                  <c:v>54</c:v>
                </c:pt>
                <c:pt idx="107">
                  <c:v>54.65</c:v>
                </c:pt>
                <c:pt idx="108">
                  <c:v>52.25</c:v>
                </c:pt>
                <c:pt idx="109">
                  <c:v>53.5</c:v>
                </c:pt>
                <c:pt idx="110">
                  <c:v>53.85</c:v>
                </c:pt>
                <c:pt idx="111">
                  <c:v>55.400000000000006</c:v>
                </c:pt>
                <c:pt idx="112">
                  <c:v>54.1</c:v>
                </c:pt>
                <c:pt idx="113">
                  <c:v>53.95</c:v>
                </c:pt>
                <c:pt idx="114">
                  <c:v>53.15</c:v>
                </c:pt>
                <c:pt idx="115">
                  <c:v>54.95</c:v>
                </c:pt>
                <c:pt idx="116">
                  <c:v>55.2</c:v>
                </c:pt>
                <c:pt idx="117">
                  <c:v>56.1</c:v>
                </c:pt>
                <c:pt idx="118">
                  <c:v>53.45</c:v>
                </c:pt>
                <c:pt idx="119">
                  <c:v>52.150000000000006</c:v>
                </c:pt>
                <c:pt idx="120">
                  <c:v>54.25</c:v>
                </c:pt>
                <c:pt idx="121">
                  <c:v>55.3</c:v>
                </c:pt>
                <c:pt idx="122">
                  <c:v>55.099999999999994</c:v>
                </c:pt>
              </c:numCache>
            </c:numRef>
          </c:val>
          <c:smooth val="0"/>
        </c:ser>
        <c:ser>
          <c:idx val="4"/>
          <c:order val="1"/>
          <c:tx>
            <c:v>Trend -- 30 Year Moving Average</c:v>
          </c:tx>
          <c:spPr>
            <a:ln w="5715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'Data -- NJ-PA Average Temp'!$E$9:$E$131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-- NJ-PA Average Temp'!$F$9:$F$131</c:f>
              <c:numCache>
                <c:formatCode>General</c:formatCode>
                <c:ptCount val="123"/>
                <c:pt idx="0">
                  <c:v>51.267158823673228</c:v>
                </c:pt>
                <c:pt idx="1">
                  <c:v>51.248411593481087</c:v>
                </c:pt>
                <c:pt idx="2">
                  <c:v>51.231113298259395</c:v>
                </c:pt>
                <c:pt idx="3">
                  <c:v>51.215555464758857</c:v>
                </c:pt>
                <c:pt idx="4">
                  <c:v>51.201937971210718</c:v>
                </c:pt>
                <c:pt idx="5">
                  <c:v>51.190224843506037</c:v>
                </c:pt>
                <c:pt idx="6">
                  <c:v>51.18022921504344</c:v>
                </c:pt>
                <c:pt idx="7">
                  <c:v>51.171471946702127</c:v>
                </c:pt>
                <c:pt idx="8">
                  <c:v>51.163338208149021</c:v>
                </c:pt>
                <c:pt idx="9">
                  <c:v>51.155003973366931</c:v>
                </c:pt>
                <c:pt idx="10">
                  <c:v>51.1454406831227</c:v>
                </c:pt>
                <c:pt idx="11">
                  <c:v>51.133743183662574</c:v>
                </c:pt>
                <c:pt idx="12">
                  <c:v>51.118920775136672</c:v>
                </c:pt>
                <c:pt idx="13">
                  <c:v>51.099701050984677</c:v>
                </c:pt>
                <c:pt idx="14">
                  <c:v>51.076977177528583</c:v>
                </c:pt>
                <c:pt idx="15">
                  <c:v>51.062478892290329</c:v>
                </c:pt>
                <c:pt idx="16">
                  <c:v>51.092784572360443</c:v>
                </c:pt>
                <c:pt idx="17">
                  <c:v>51.138473393921451</c:v>
                </c:pt>
                <c:pt idx="18">
                  <c:v>51.191463240190942</c:v>
                </c:pt>
                <c:pt idx="19">
                  <c:v>51.242328939392451</c:v>
                </c:pt>
                <c:pt idx="20">
                  <c:v>51.282722909944198</c:v>
                </c:pt>
                <c:pt idx="21">
                  <c:v>51.309370332036515</c:v>
                </c:pt>
                <c:pt idx="22">
                  <c:v>51.322219611395965</c:v>
                </c:pt>
                <c:pt idx="23">
                  <c:v>51.326832047917151</c:v>
                </c:pt>
                <c:pt idx="24">
                  <c:v>51.335592226392372</c:v>
                </c:pt>
                <c:pt idx="25">
                  <c:v>51.356455665957419</c:v>
                </c:pt>
                <c:pt idx="26">
                  <c:v>51.391524569133985</c:v>
                </c:pt>
                <c:pt idx="27">
                  <c:v>51.440530816623586</c:v>
                </c:pt>
                <c:pt idx="28">
                  <c:v>51.497527315972462</c:v>
                </c:pt>
                <c:pt idx="29">
                  <c:v>51.556549338836426</c:v>
                </c:pt>
                <c:pt idx="30">
                  <c:v>51.613841375957186</c:v>
                </c:pt>
                <c:pt idx="31">
                  <c:v>51.667447930272893</c:v>
                </c:pt>
                <c:pt idx="32">
                  <c:v>51.714582896676077</c:v>
                </c:pt>
                <c:pt idx="33">
                  <c:v>51.748066249186905</c:v>
                </c:pt>
                <c:pt idx="34">
                  <c:v>51.767958847990926</c:v>
                </c:pt>
                <c:pt idx="35">
                  <c:v>51.778076624317421</c:v>
                </c:pt>
                <c:pt idx="36">
                  <c:v>51.785291648447021</c:v>
                </c:pt>
                <c:pt idx="37">
                  <c:v>51.797879480694654</c:v>
                </c:pt>
                <c:pt idx="38">
                  <c:v>51.81895962262648</c:v>
                </c:pt>
                <c:pt idx="39">
                  <c:v>51.848025446045398</c:v>
                </c:pt>
                <c:pt idx="40">
                  <c:v>51.880822119843501</c:v>
                </c:pt>
                <c:pt idx="41">
                  <c:v>51.909457175339803</c:v>
                </c:pt>
                <c:pt idx="42">
                  <c:v>51.931219697695724</c:v>
                </c:pt>
                <c:pt idx="43">
                  <c:v>51.945127147410581</c:v>
                </c:pt>
                <c:pt idx="44">
                  <c:v>51.953257023596215</c:v>
                </c:pt>
                <c:pt idx="45">
                  <c:v>51.959562831572683</c:v>
                </c:pt>
                <c:pt idx="46">
                  <c:v>51.971836862950568</c:v>
                </c:pt>
                <c:pt idx="47">
                  <c:v>51.995541622836143</c:v>
                </c:pt>
                <c:pt idx="48">
                  <c:v>52.032607198347385</c:v>
                </c:pt>
                <c:pt idx="49">
                  <c:v>52.081156738330954</c:v>
                </c:pt>
                <c:pt idx="50">
                  <c:v>52.136346946986642</c:v>
                </c:pt>
                <c:pt idx="51">
                  <c:v>52.189109509472651</c:v>
                </c:pt>
                <c:pt idx="52">
                  <c:v>52.234943318374931</c:v>
                </c:pt>
                <c:pt idx="53">
                  <c:v>52.271326541138258</c:v>
                </c:pt>
                <c:pt idx="54">
                  <c:v>52.298640203474996</c:v>
                </c:pt>
                <c:pt idx="55">
                  <c:v>52.31628951929163</c:v>
                </c:pt>
                <c:pt idx="56">
                  <c:v>52.32173405734283</c:v>
                </c:pt>
                <c:pt idx="57">
                  <c:v>52.313429971851612</c:v>
                </c:pt>
                <c:pt idx="58">
                  <c:v>52.290406235485136</c:v>
                </c:pt>
                <c:pt idx="59">
                  <c:v>52.253987672312419</c:v>
                </c:pt>
                <c:pt idx="60">
                  <c:v>52.20740385443721</c:v>
                </c:pt>
                <c:pt idx="61">
                  <c:v>52.151720342717994</c:v>
                </c:pt>
                <c:pt idx="62">
                  <c:v>52.088730385871649</c:v>
                </c:pt>
                <c:pt idx="63">
                  <c:v>52.022171784725693</c:v>
                </c:pt>
                <c:pt idx="64">
                  <c:v>51.955623452920051</c:v>
                </c:pt>
                <c:pt idx="65">
                  <c:v>51.892034612800032</c:v>
                </c:pt>
                <c:pt idx="66">
                  <c:v>51.835736230774089</c:v>
                </c:pt>
                <c:pt idx="67">
                  <c:v>51.792163450111765</c:v>
                </c:pt>
                <c:pt idx="68">
                  <c:v>51.76474589063092</c:v>
                </c:pt>
                <c:pt idx="69">
                  <c:v>51.752228314611052</c:v>
                </c:pt>
                <c:pt idx="70">
                  <c:v>51.754702814003586</c:v>
                </c:pt>
                <c:pt idx="71">
                  <c:v>51.768656946335355</c:v>
                </c:pt>
                <c:pt idx="72">
                  <c:v>51.789273718946262</c:v>
                </c:pt>
                <c:pt idx="73">
                  <c:v>51.812165747294429</c:v>
                </c:pt>
                <c:pt idx="74">
                  <c:v>51.835623770162357</c:v>
                </c:pt>
                <c:pt idx="75">
                  <c:v>51.860077704828178</c:v>
                </c:pt>
                <c:pt idx="76">
                  <c:v>51.88816285499572</c:v>
                </c:pt>
                <c:pt idx="77">
                  <c:v>51.921867183703853</c:v>
                </c:pt>
                <c:pt idx="78">
                  <c:v>51.963584971897973</c:v>
                </c:pt>
                <c:pt idx="79">
                  <c:v>52.011628555023222</c:v>
                </c:pt>
                <c:pt idx="80">
                  <c:v>52.063562868280854</c:v>
                </c:pt>
                <c:pt idx="81">
                  <c:v>52.11525832437399</c:v>
                </c:pt>
                <c:pt idx="82">
                  <c:v>52.163956558369172</c:v>
                </c:pt>
                <c:pt idx="83">
                  <c:v>52.21158809249539</c:v>
                </c:pt>
                <c:pt idx="84">
                  <c:v>52.259513111944891</c:v>
                </c:pt>
                <c:pt idx="85">
                  <c:v>52.305979301827826</c:v>
                </c:pt>
                <c:pt idx="86">
                  <c:v>52.349770515966782</c:v>
                </c:pt>
                <c:pt idx="87">
                  <c:v>52.391348779345456</c:v>
                </c:pt>
                <c:pt idx="88">
                  <c:v>52.431432061287722</c:v>
                </c:pt>
                <c:pt idx="89">
                  <c:v>52.470412134238238</c:v>
                </c:pt>
                <c:pt idx="90">
                  <c:v>52.510622343265581</c:v>
                </c:pt>
                <c:pt idx="91">
                  <c:v>52.559005337958261</c:v>
                </c:pt>
                <c:pt idx="92">
                  <c:v>52.620464054185774</c:v>
                </c:pt>
                <c:pt idx="93">
                  <c:v>52.691647880150974</c:v>
                </c:pt>
                <c:pt idx="94">
                  <c:v>52.768615471451994</c:v>
                </c:pt>
                <c:pt idx="95">
                  <c:v>52.848067356305386</c:v>
                </c:pt>
                <c:pt idx="96">
                  <c:v>52.925878622169932</c:v>
                </c:pt>
                <c:pt idx="97">
                  <c:v>52.998382252738025</c:v>
                </c:pt>
                <c:pt idx="98">
                  <c:v>53.065334874647633</c:v>
                </c:pt>
                <c:pt idx="99">
                  <c:v>53.129316728306257</c:v>
                </c:pt>
                <c:pt idx="100">
                  <c:v>53.192305090805085</c:v>
                </c:pt>
                <c:pt idx="101">
                  <c:v>53.255477129301525</c:v>
                </c:pt>
                <c:pt idx="102">
                  <c:v>53.31865065568897</c:v>
                </c:pt>
                <c:pt idx="103">
                  <c:v>53.383453003602057</c:v>
                </c:pt>
                <c:pt idx="104">
                  <c:v>53.453961315324555</c:v>
                </c:pt>
                <c:pt idx="105">
                  <c:v>53.533239742112691</c:v>
                </c:pt>
                <c:pt idx="106">
                  <c:v>53.618911700018401</c:v>
                </c:pt>
                <c:pt idx="107">
                  <c:v>53.705635160379344</c:v>
                </c:pt>
                <c:pt idx="108">
                  <c:v>53.778321783280362</c:v>
                </c:pt>
                <c:pt idx="109">
                  <c:v>53.842337485888443</c:v>
                </c:pt>
                <c:pt idx="110">
                  <c:v>53.907069256702989</c:v>
                </c:pt>
                <c:pt idx="111">
                  <c:v>53.973491385038017</c:v>
                </c:pt>
                <c:pt idx="112">
                  <c:v>54.041057045276204</c:v>
                </c:pt>
                <c:pt idx="113">
                  <c:v>54.109067461242262</c:v>
                </c:pt>
                <c:pt idx="114">
                  <c:v>54.177036111632134</c:v>
                </c:pt>
                <c:pt idx="115">
                  <c:v>54.244709974487343</c:v>
                </c:pt>
                <c:pt idx="116">
                  <c:v>54.312030022781336</c:v>
                </c:pt>
                <c:pt idx="117">
                  <c:v>54.37887295210075</c:v>
                </c:pt>
                <c:pt idx="118">
                  <c:v>54.444964488969319</c:v>
                </c:pt>
                <c:pt idx="119">
                  <c:v>54.509883266399683</c:v>
                </c:pt>
                <c:pt idx="120">
                  <c:v>54.57345969835076</c:v>
                </c:pt>
                <c:pt idx="121">
                  <c:v>54.635950785168653</c:v>
                </c:pt>
                <c:pt idx="122">
                  <c:v>54.697708343964081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'Data -- NJ-PA Average Temp'!$G$8</c:f>
              <c:strCache>
                <c:ptCount val="1"/>
                <c:pt idx="0">
                  <c:v>1901-2000 Average Temperature = 52.2°F</c:v>
                </c:pt>
              </c:strCache>
            </c:strRef>
          </c:tx>
          <c:spPr>
            <a:ln w="9525">
              <a:solidFill>
                <a:schemeClr val="tx1"/>
              </a:solidFill>
              <a:prstDash val="lgDash"/>
            </a:ln>
          </c:spPr>
          <c:marker>
            <c:symbol val="none"/>
          </c:marker>
          <c:cat>
            <c:numRef>
              <c:f>'Data -- NJ-PA Average Temp'!$E$9:$E$131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-- NJ-PA Average Temp'!$G$9:$G$131</c:f>
              <c:numCache>
                <c:formatCode>General</c:formatCode>
                <c:ptCount val="123"/>
                <c:pt idx="0">
                  <c:v>52.243089430894315</c:v>
                </c:pt>
                <c:pt idx="1">
                  <c:v>52.243089430894315</c:v>
                </c:pt>
                <c:pt idx="2">
                  <c:v>52.243089430894315</c:v>
                </c:pt>
                <c:pt idx="3">
                  <c:v>52.243089430894315</c:v>
                </c:pt>
                <c:pt idx="4">
                  <c:v>52.243089430894315</c:v>
                </c:pt>
                <c:pt idx="5">
                  <c:v>52.243089430894315</c:v>
                </c:pt>
                <c:pt idx="6">
                  <c:v>52.243089430894315</c:v>
                </c:pt>
                <c:pt idx="7">
                  <c:v>52.243089430894315</c:v>
                </c:pt>
                <c:pt idx="8">
                  <c:v>52.243089430894315</c:v>
                </c:pt>
                <c:pt idx="9">
                  <c:v>52.243089430894315</c:v>
                </c:pt>
                <c:pt idx="10">
                  <c:v>52.243089430894315</c:v>
                </c:pt>
                <c:pt idx="11">
                  <c:v>52.243089430894315</c:v>
                </c:pt>
                <c:pt idx="12">
                  <c:v>52.243089430894315</c:v>
                </c:pt>
                <c:pt idx="13">
                  <c:v>52.243089430894315</c:v>
                </c:pt>
                <c:pt idx="14">
                  <c:v>52.243089430894315</c:v>
                </c:pt>
                <c:pt idx="15">
                  <c:v>52.243089430894315</c:v>
                </c:pt>
                <c:pt idx="16">
                  <c:v>52.243089430894315</c:v>
                </c:pt>
                <c:pt idx="17">
                  <c:v>52.243089430894315</c:v>
                </c:pt>
                <c:pt idx="18">
                  <c:v>52.243089430894315</c:v>
                </c:pt>
                <c:pt idx="19">
                  <c:v>52.243089430894315</c:v>
                </c:pt>
                <c:pt idx="20">
                  <c:v>52.243089430894315</c:v>
                </c:pt>
                <c:pt idx="21">
                  <c:v>52.243089430894315</c:v>
                </c:pt>
                <c:pt idx="22">
                  <c:v>52.243089430894315</c:v>
                </c:pt>
                <c:pt idx="23">
                  <c:v>52.243089430894315</c:v>
                </c:pt>
                <c:pt idx="24">
                  <c:v>52.243089430894315</c:v>
                </c:pt>
                <c:pt idx="25">
                  <c:v>52.243089430894315</c:v>
                </c:pt>
                <c:pt idx="26">
                  <c:v>52.243089430894315</c:v>
                </c:pt>
                <c:pt idx="27">
                  <c:v>52.243089430894315</c:v>
                </c:pt>
                <c:pt idx="28">
                  <c:v>52.243089430894315</c:v>
                </c:pt>
                <c:pt idx="29">
                  <c:v>52.243089430894315</c:v>
                </c:pt>
                <c:pt idx="30">
                  <c:v>52.243089430894315</c:v>
                </c:pt>
                <c:pt idx="31">
                  <c:v>52.243089430894315</c:v>
                </c:pt>
                <c:pt idx="32">
                  <c:v>52.243089430894315</c:v>
                </c:pt>
                <c:pt idx="33">
                  <c:v>52.243089430894315</c:v>
                </c:pt>
                <c:pt idx="34">
                  <c:v>52.243089430894315</c:v>
                </c:pt>
                <c:pt idx="35">
                  <c:v>52.243089430894315</c:v>
                </c:pt>
                <c:pt idx="36">
                  <c:v>52.243089430894315</c:v>
                </c:pt>
                <c:pt idx="37">
                  <c:v>52.243089430894315</c:v>
                </c:pt>
                <c:pt idx="38">
                  <c:v>52.243089430894315</c:v>
                </c:pt>
                <c:pt idx="39">
                  <c:v>52.243089430894315</c:v>
                </c:pt>
                <c:pt idx="40">
                  <c:v>52.243089430894315</c:v>
                </c:pt>
                <c:pt idx="41">
                  <c:v>52.243089430894315</c:v>
                </c:pt>
                <c:pt idx="42">
                  <c:v>52.243089430894315</c:v>
                </c:pt>
                <c:pt idx="43">
                  <c:v>52.243089430894315</c:v>
                </c:pt>
                <c:pt idx="44">
                  <c:v>52.243089430894315</c:v>
                </c:pt>
                <c:pt idx="45">
                  <c:v>52.243089430894315</c:v>
                </c:pt>
                <c:pt idx="46">
                  <c:v>52.243089430894315</c:v>
                </c:pt>
                <c:pt idx="47">
                  <c:v>52.243089430894315</c:v>
                </c:pt>
                <c:pt idx="48">
                  <c:v>52.243089430894315</c:v>
                </c:pt>
                <c:pt idx="49">
                  <c:v>52.243089430894315</c:v>
                </c:pt>
                <c:pt idx="50">
                  <c:v>52.243089430894315</c:v>
                </c:pt>
                <c:pt idx="51">
                  <c:v>52.243089430894315</c:v>
                </c:pt>
                <c:pt idx="52">
                  <c:v>52.243089430894315</c:v>
                </c:pt>
                <c:pt idx="53">
                  <c:v>52.243089430894315</c:v>
                </c:pt>
                <c:pt idx="54">
                  <c:v>52.243089430894315</c:v>
                </c:pt>
                <c:pt idx="55">
                  <c:v>52.243089430894315</c:v>
                </c:pt>
                <c:pt idx="56">
                  <c:v>52.243089430894315</c:v>
                </c:pt>
                <c:pt idx="57">
                  <c:v>52.243089430894315</c:v>
                </c:pt>
                <c:pt idx="58">
                  <c:v>52.243089430894315</c:v>
                </c:pt>
                <c:pt idx="59">
                  <c:v>52.243089430894315</c:v>
                </c:pt>
                <c:pt idx="60">
                  <c:v>52.243089430894315</c:v>
                </c:pt>
                <c:pt idx="61">
                  <c:v>52.243089430894315</c:v>
                </c:pt>
                <c:pt idx="62">
                  <c:v>52.243089430894315</c:v>
                </c:pt>
                <c:pt idx="63">
                  <c:v>52.243089430894315</c:v>
                </c:pt>
                <c:pt idx="64">
                  <c:v>52.243089430894315</c:v>
                </c:pt>
                <c:pt idx="65">
                  <c:v>52.243089430894315</c:v>
                </c:pt>
                <c:pt idx="66">
                  <c:v>52.243089430894315</c:v>
                </c:pt>
                <c:pt idx="67">
                  <c:v>52.243089430894315</c:v>
                </c:pt>
                <c:pt idx="68">
                  <c:v>52.243089430894315</c:v>
                </c:pt>
                <c:pt idx="69">
                  <c:v>52.243089430894315</c:v>
                </c:pt>
                <c:pt idx="70">
                  <c:v>52.243089430894315</c:v>
                </c:pt>
                <c:pt idx="71">
                  <c:v>52.243089430894315</c:v>
                </c:pt>
                <c:pt idx="72">
                  <c:v>52.243089430894315</c:v>
                </c:pt>
                <c:pt idx="73">
                  <c:v>52.243089430894315</c:v>
                </c:pt>
                <c:pt idx="74">
                  <c:v>52.243089430894315</c:v>
                </c:pt>
                <c:pt idx="75">
                  <c:v>52.243089430894315</c:v>
                </c:pt>
                <c:pt idx="76">
                  <c:v>52.243089430894315</c:v>
                </c:pt>
                <c:pt idx="77">
                  <c:v>52.243089430894315</c:v>
                </c:pt>
                <c:pt idx="78">
                  <c:v>52.243089430894315</c:v>
                </c:pt>
                <c:pt idx="79">
                  <c:v>52.243089430894315</c:v>
                </c:pt>
                <c:pt idx="80">
                  <c:v>52.243089430894315</c:v>
                </c:pt>
                <c:pt idx="81">
                  <c:v>52.243089430894315</c:v>
                </c:pt>
                <c:pt idx="82">
                  <c:v>52.243089430894315</c:v>
                </c:pt>
                <c:pt idx="83">
                  <c:v>52.243089430894315</c:v>
                </c:pt>
                <c:pt idx="84">
                  <c:v>52.243089430894315</c:v>
                </c:pt>
                <c:pt idx="85">
                  <c:v>52.243089430894315</c:v>
                </c:pt>
                <c:pt idx="86">
                  <c:v>52.243089430894315</c:v>
                </c:pt>
                <c:pt idx="87">
                  <c:v>52.243089430894315</c:v>
                </c:pt>
                <c:pt idx="88">
                  <c:v>52.243089430894315</c:v>
                </c:pt>
                <c:pt idx="89">
                  <c:v>52.243089430894315</c:v>
                </c:pt>
                <c:pt idx="90">
                  <c:v>52.243089430894315</c:v>
                </c:pt>
                <c:pt idx="91">
                  <c:v>52.243089430894315</c:v>
                </c:pt>
                <c:pt idx="92">
                  <c:v>52.243089430894315</c:v>
                </c:pt>
                <c:pt idx="93">
                  <c:v>52.243089430894315</c:v>
                </c:pt>
                <c:pt idx="94">
                  <c:v>52.243089430894315</c:v>
                </c:pt>
                <c:pt idx="95">
                  <c:v>52.243089430894315</c:v>
                </c:pt>
                <c:pt idx="96">
                  <c:v>52.243089430894315</c:v>
                </c:pt>
                <c:pt idx="97">
                  <c:v>52.243089430894315</c:v>
                </c:pt>
                <c:pt idx="98">
                  <c:v>52.243089430894315</c:v>
                </c:pt>
                <c:pt idx="99">
                  <c:v>52.243089430894315</c:v>
                </c:pt>
                <c:pt idx="100">
                  <c:v>52.243089430894315</c:v>
                </c:pt>
                <c:pt idx="101">
                  <c:v>52.243089430894315</c:v>
                </c:pt>
                <c:pt idx="102">
                  <c:v>52.243089430894315</c:v>
                </c:pt>
                <c:pt idx="103">
                  <c:v>52.243089430894315</c:v>
                </c:pt>
                <c:pt idx="104">
                  <c:v>52.243089430894315</c:v>
                </c:pt>
                <c:pt idx="105">
                  <c:v>52.243089430894315</c:v>
                </c:pt>
                <c:pt idx="106">
                  <c:v>52.243089430894315</c:v>
                </c:pt>
                <c:pt idx="107">
                  <c:v>52.243089430894315</c:v>
                </c:pt>
                <c:pt idx="108">
                  <c:v>52.243089430894315</c:v>
                </c:pt>
                <c:pt idx="109">
                  <c:v>52.243089430894315</c:v>
                </c:pt>
                <c:pt idx="110">
                  <c:v>52.243089430894315</c:v>
                </c:pt>
                <c:pt idx="111">
                  <c:v>52.243089430894315</c:v>
                </c:pt>
                <c:pt idx="112">
                  <c:v>52.243089430894315</c:v>
                </c:pt>
                <c:pt idx="113">
                  <c:v>52.243089430894315</c:v>
                </c:pt>
                <c:pt idx="114">
                  <c:v>52.243089430894315</c:v>
                </c:pt>
                <c:pt idx="115">
                  <c:v>52.243089430894315</c:v>
                </c:pt>
                <c:pt idx="116">
                  <c:v>52.243089430894315</c:v>
                </c:pt>
                <c:pt idx="117">
                  <c:v>52.243089430894315</c:v>
                </c:pt>
                <c:pt idx="118">
                  <c:v>52.243089430894315</c:v>
                </c:pt>
                <c:pt idx="119">
                  <c:v>52.243089430894315</c:v>
                </c:pt>
                <c:pt idx="120">
                  <c:v>52.243089430894315</c:v>
                </c:pt>
                <c:pt idx="121">
                  <c:v>52.243089430894315</c:v>
                </c:pt>
                <c:pt idx="122">
                  <c:v>52.243089430894315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98848"/>
        <c:axId val="84400384"/>
      </c:lineChart>
      <c:catAx>
        <c:axId val="84398848"/>
        <c:scaling>
          <c:orientation val="minMax"/>
        </c:scaling>
        <c:delete val="0"/>
        <c:axPos val="b"/>
        <c:majorGridlines>
          <c:spPr>
            <a:ln w="6350"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8440038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84400384"/>
        <c:scaling>
          <c:orientation val="minMax"/>
          <c:max val="57"/>
          <c:min val="48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2000"/>
                </a:pPr>
                <a:r>
                  <a:rPr lang="en-US" sz="2000"/>
                  <a:t>Average Annual Temperature</a:t>
                </a:r>
                <a:r>
                  <a:rPr lang="en-US" sz="2000" baseline="0"/>
                  <a:t> °F</a:t>
                </a:r>
                <a:endParaRPr lang="en-US" sz="2000"/>
              </a:p>
            </c:rich>
          </c:tx>
          <c:layout>
            <c:manualLayout>
              <c:xMode val="edge"/>
              <c:yMode val="edge"/>
              <c:x val="9.4893332337077883E-3"/>
              <c:y val="0.2419301678199315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84398848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9.9427436068734457E-2"/>
          <c:y val="6.055817118797413E-2"/>
          <c:w val="0.48425002116272942"/>
          <c:h val="0.22831464248787084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00988779618285"/>
          <c:y val="0.16182327209098862"/>
          <c:w val="0.85146835851476788"/>
          <c:h val="0.75307245685198443"/>
        </c:manualLayout>
      </c:layout>
      <c:lineChart>
        <c:grouping val="standard"/>
        <c:varyColors val="0"/>
        <c:ser>
          <c:idx val="3"/>
          <c:order val="0"/>
          <c:tx>
            <c:v>Average Annual Precipitation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cat>
            <c:numRef>
              <c:f>'Data - PA and NJ Combo Precip.'!$J$10:$J$132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 PA and NJ Combo Precip.'!$K$10:$K$132</c:f>
              <c:numCache>
                <c:formatCode>General</c:formatCode>
                <c:ptCount val="123"/>
                <c:pt idx="0">
                  <c:v>35.64</c:v>
                </c:pt>
                <c:pt idx="1">
                  <c:v>39.590000000000003</c:v>
                </c:pt>
                <c:pt idx="2">
                  <c:v>47.86</c:v>
                </c:pt>
                <c:pt idx="3">
                  <c:v>48.9</c:v>
                </c:pt>
                <c:pt idx="4">
                  <c:v>43.739999999999995</c:v>
                </c:pt>
                <c:pt idx="5">
                  <c:v>40.515000000000001</c:v>
                </c:pt>
                <c:pt idx="6">
                  <c:v>48.875</c:v>
                </c:pt>
                <c:pt idx="7">
                  <c:v>54.594999999999999</c:v>
                </c:pt>
                <c:pt idx="8">
                  <c:v>50.025000000000006</c:v>
                </c:pt>
                <c:pt idx="9">
                  <c:v>43</c:v>
                </c:pt>
                <c:pt idx="10">
                  <c:v>42.769999999999996</c:v>
                </c:pt>
                <c:pt idx="11">
                  <c:v>49.365000000000002</c:v>
                </c:pt>
                <c:pt idx="12">
                  <c:v>51.305</c:v>
                </c:pt>
                <c:pt idx="13">
                  <c:v>42.625</c:v>
                </c:pt>
                <c:pt idx="14">
                  <c:v>38.644999999999996</c:v>
                </c:pt>
                <c:pt idx="15">
                  <c:v>40.504999999999995</c:v>
                </c:pt>
                <c:pt idx="16">
                  <c:v>49.49</c:v>
                </c:pt>
                <c:pt idx="17">
                  <c:v>46</c:v>
                </c:pt>
                <c:pt idx="18">
                  <c:v>44.16</c:v>
                </c:pt>
                <c:pt idx="19">
                  <c:v>37.11</c:v>
                </c:pt>
                <c:pt idx="20">
                  <c:v>47.42</c:v>
                </c:pt>
                <c:pt idx="21">
                  <c:v>38.65</c:v>
                </c:pt>
                <c:pt idx="22">
                  <c:v>41.914999999999999</c:v>
                </c:pt>
                <c:pt idx="23">
                  <c:v>37.905000000000001</c:v>
                </c:pt>
                <c:pt idx="24">
                  <c:v>50.445</c:v>
                </c:pt>
                <c:pt idx="25">
                  <c:v>46.454999999999998</c:v>
                </c:pt>
                <c:pt idx="26">
                  <c:v>36.704999999999998</c:v>
                </c:pt>
                <c:pt idx="27">
                  <c:v>36.58</c:v>
                </c:pt>
                <c:pt idx="28">
                  <c:v>40.909999999999997</c:v>
                </c:pt>
                <c:pt idx="29">
                  <c:v>46.004999999999995</c:v>
                </c:pt>
                <c:pt idx="30">
                  <c:v>38.47</c:v>
                </c:pt>
                <c:pt idx="31">
                  <c:v>44.314999999999998</c:v>
                </c:pt>
                <c:pt idx="32">
                  <c:v>44.5</c:v>
                </c:pt>
                <c:pt idx="33">
                  <c:v>44.375</c:v>
                </c:pt>
                <c:pt idx="34">
                  <c:v>42.604999999999997</c:v>
                </c:pt>
                <c:pt idx="35">
                  <c:v>31.675000000000001</c:v>
                </c:pt>
                <c:pt idx="36">
                  <c:v>36.454999999999998</c:v>
                </c:pt>
                <c:pt idx="37">
                  <c:v>45.594999999999999</c:v>
                </c:pt>
                <c:pt idx="38">
                  <c:v>49.865000000000002</c:v>
                </c:pt>
                <c:pt idx="39">
                  <c:v>45.82</c:v>
                </c:pt>
                <c:pt idx="40">
                  <c:v>44.775000000000006</c:v>
                </c:pt>
                <c:pt idx="41">
                  <c:v>45.370000000000005</c:v>
                </c:pt>
                <c:pt idx="42">
                  <c:v>45.475000000000001</c:v>
                </c:pt>
                <c:pt idx="43">
                  <c:v>49.31</c:v>
                </c:pt>
                <c:pt idx="44">
                  <c:v>42.85</c:v>
                </c:pt>
                <c:pt idx="45">
                  <c:v>45.844999999999999</c:v>
                </c:pt>
                <c:pt idx="46">
                  <c:v>34.555</c:v>
                </c:pt>
                <c:pt idx="47">
                  <c:v>48.225000000000001</c:v>
                </c:pt>
                <c:pt idx="48">
                  <c:v>38.045000000000002</c:v>
                </c:pt>
                <c:pt idx="49">
                  <c:v>44.21</c:v>
                </c:pt>
                <c:pt idx="50">
                  <c:v>49.68</c:v>
                </c:pt>
                <c:pt idx="51">
                  <c:v>39.435000000000002</c:v>
                </c:pt>
                <c:pt idx="52">
                  <c:v>42.484999999999999</c:v>
                </c:pt>
                <c:pt idx="53">
                  <c:v>51.72</c:v>
                </c:pt>
                <c:pt idx="54">
                  <c:v>39.244999999999997</c:v>
                </c:pt>
                <c:pt idx="55">
                  <c:v>42.85</c:v>
                </c:pt>
                <c:pt idx="56">
                  <c:v>45.9</c:v>
                </c:pt>
                <c:pt idx="57">
                  <c:v>53.17</c:v>
                </c:pt>
                <c:pt idx="58">
                  <c:v>48.34</c:v>
                </c:pt>
                <c:pt idx="59">
                  <c:v>37.82</c:v>
                </c:pt>
                <c:pt idx="60">
                  <c:v>39.685000000000002</c:v>
                </c:pt>
                <c:pt idx="61">
                  <c:v>46.284999999999997</c:v>
                </c:pt>
                <c:pt idx="62">
                  <c:v>34.894999999999996</c:v>
                </c:pt>
                <c:pt idx="63">
                  <c:v>52.019999999999996</c:v>
                </c:pt>
                <c:pt idx="64">
                  <c:v>42.24</c:v>
                </c:pt>
                <c:pt idx="65">
                  <c:v>45.18</c:v>
                </c:pt>
                <c:pt idx="66">
                  <c:v>43.685000000000002</c:v>
                </c:pt>
                <c:pt idx="67">
                  <c:v>41.265000000000001</c:v>
                </c:pt>
                <c:pt idx="68">
                  <c:v>33.905000000000001</c:v>
                </c:pt>
                <c:pt idx="69">
                  <c:v>36.340000000000003</c:v>
                </c:pt>
                <c:pt idx="70">
                  <c:v>29.67</c:v>
                </c:pt>
                <c:pt idx="71">
                  <c:v>39.234999999999999</c:v>
                </c:pt>
                <c:pt idx="72">
                  <c:v>44.575000000000003</c:v>
                </c:pt>
                <c:pt idx="73">
                  <c:v>38.674999999999997</c:v>
                </c:pt>
                <c:pt idx="74">
                  <c:v>43.870000000000005</c:v>
                </c:pt>
                <c:pt idx="75">
                  <c:v>41.519999999999996</c:v>
                </c:pt>
                <c:pt idx="76">
                  <c:v>50.635000000000005</c:v>
                </c:pt>
                <c:pt idx="77">
                  <c:v>55.01</c:v>
                </c:pt>
                <c:pt idx="78">
                  <c:v>48.93</c:v>
                </c:pt>
                <c:pt idx="79">
                  <c:v>42.61</c:v>
                </c:pt>
                <c:pt idx="80">
                  <c:v>56.629999999999995</c:v>
                </c:pt>
                <c:pt idx="81">
                  <c:v>39.57</c:v>
                </c:pt>
                <c:pt idx="82">
                  <c:v>47.43</c:v>
                </c:pt>
                <c:pt idx="83">
                  <c:v>47.545000000000002</c:v>
                </c:pt>
                <c:pt idx="84">
                  <c:v>55.84</c:v>
                </c:pt>
                <c:pt idx="85">
                  <c:v>36.379999999999995</c:v>
                </c:pt>
                <c:pt idx="86">
                  <c:v>37.875</c:v>
                </c:pt>
                <c:pt idx="87">
                  <c:v>40.42</c:v>
                </c:pt>
                <c:pt idx="88">
                  <c:v>55.295000000000002</c:v>
                </c:pt>
                <c:pt idx="89">
                  <c:v>47.495000000000005</c:v>
                </c:pt>
                <c:pt idx="90">
                  <c:v>38.35</c:v>
                </c:pt>
                <c:pt idx="91">
                  <c:v>44.07</c:v>
                </c:pt>
                <c:pt idx="92">
                  <c:v>42.164999999999999</c:v>
                </c:pt>
                <c:pt idx="93">
                  <c:v>39.5</c:v>
                </c:pt>
                <c:pt idx="94">
                  <c:v>52.28</c:v>
                </c:pt>
                <c:pt idx="95">
                  <c:v>46.28</c:v>
                </c:pt>
                <c:pt idx="96">
                  <c:v>40.365000000000002</c:v>
                </c:pt>
                <c:pt idx="97">
                  <c:v>39.730000000000004</c:v>
                </c:pt>
                <c:pt idx="98">
                  <c:v>46.879999999999995</c:v>
                </c:pt>
                <c:pt idx="99">
                  <c:v>47.209999999999994</c:v>
                </c:pt>
                <c:pt idx="100">
                  <c:v>39.625</c:v>
                </c:pt>
                <c:pt idx="101">
                  <c:v>59.09</c:v>
                </c:pt>
                <c:pt idx="102">
                  <c:v>39.245000000000005</c:v>
                </c:pt>
                <c:pt idx="103">
                  <c:v>41.29</c:v>
                </c:pt>
                <c:pt idx="104">
                  <c:v>46.8</c:v>
                </c:pt>
                <c:pt idx="105">
                  <c:v>44.415000000000006</c:v>
                </c:pt>
                <c:pt idx="106">
                  <c:v>34.614999999999995</c:v>
                </c:pt>
                <c:pt idx="107">
                  <c:v>44.774999999999999</c:v>
                </c:pt>
                <c:pt idx="108">
                  <c:v>56.07</c:v>
                </c:pt>
                <c:pt idx="109">
                  <c:v>50.564999999999998</c:v>
                </c:pt>
                <c:pt idx="110">
                  <c:v>46.825000000000003</c:v>
                </c:pt>
                <c:pt idx="111">
                  <c:v>51.06</c:v>
                </c:pt>
                <c:pt idx="112">
                  <c:v>44.775000000000006</c:v>
                </c:pt>
                <c:pt idx="113">
                  <c:v>45.784999999999997</c:v>
                </c:pt>
                <c:pt idx="114">
                  <c:v>53.129999999999995</c:v>
                </c:pt>
                <c:pt idx="115">
                  <c:v>43.379999999999995</c:v>
                </c:pt>
                <c:pt idx="116">
                  <c:v>61.704999999999998</c:v>
                </c:pt>
                <c:pt idx="117">
                  <c:v>42.515000000000001</c:v>
                </c:pt>
                <c:pt idx="118">
                  <c:v>48.010000000000005</c:v>
                </c:pt>
                <c:pt idx="119">
                  <c:v>48.935000000000002</c:v>
                </c:pt>
                <c:pt idx="120">
                  <c:v>44.784999999999997</c:v>
                </c:pt>
                <c:pt idx="121">
                  <c:v>39.549999999999997</c:v>
                </c:pt>
                <c:pt idx="122">
                  <c:v>44.44</c:v>
                </c:pt>
              </c:numCache>
            </c:numRef>
          </c:val>
          <c:smooth val="0"/>
        </c:ser>
        <c:ser>
          <c:idx val="4"/>
          <c:order val="1"/>
          <c:tx>
            <c:v>Trend -- 30 Year Moving Average</c:v>
          </c:tx>
          <c:spPr>
            <a:ln w="5715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'Data - PA and NJ Combo Precip.'!$J$10:$J$132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 PA and NJ Combo Precip.'!$M$10:$M$132</c:f>
              <c:numCache>
                <c:formatCode>General</c:formatCode>
                <c:ptCount val="123"/>
                <c:pt idx="0">
                  <c:v>44.715933041530093</c:v>
                </c:pt>
                <c:pt idx="1">
                  <c:v>44.781207405414129</c:v>
                </c:pt>
                <c:pt idx="2">
                  <c:v>44.830749722032756</c:v>
                </c:pt>
                <c:pt idx="3">
                  <c:v>44.866978180343857</c:v>
                </c:pt>
                <c:pt idx="4">
                  <c:v>44.892181760926618</c:v>
                </c:pt>
                <c:pt idx="5">
                  <c:v>44.908193660408088</c:v>
                </c:pt>
                <c:pt idx="6">
                  <c:v>44.917208826869533</c:v>
                </c:pt>
                <c:pt idx="7">
                  <c:v>44.922218410078848</c:v>
                </c:pt>
                <c:pt idx="8">
                  <c:v>44.925761956478766</c:v>
                </c:pt>
                <c:pt idx="9">
                  <c:v>44.928571584217011</c:v>
                </c:pt>
                <c:pt idx="10">
                  <c:v>44.929484583175665</c:v>
                </c:pt>
                <c:pt idx="11">
                  <c:v>44.925863638261582</c:v>
                </c:pt>
                <c:pt idx="12">
                  <c:v>44.912004388924579</c:v>
                </c:pt>
                <c:pt idx="13">
                  <c:v>44.870751365663217</c:v>
                </c:pt>
                <c:pt idx="14">
                  <c:v>44.752666496627043</c:v>
                </c:pt>
                <c:pt idx="15">
                  <c:v>44.503091393344178</c:v>
                </c:pt>
                <c:pt idx="16">
                  <c:v>44.193593514060893</c:v>
                </c:pt>
                <c:pt idx="17">
                  <c:v>43.869451969834493</c:v>
                </c:pt>
                <c:pt idx="18">
                  <c:v>43.54190754951258</c:v>
                </c:pt>
                <c:pt idx="19">
                  <c:v>43.237079859816987</c:v>
                </c:pt>
                <c:pt idx="20">
                  <c:v>42.982543867054474</c:v>
                </c:pt>
                <c:pt idx="21">
                  <c:v>42.785060518899549</c:v>
                </c:pt>
                <c:pt idx="22">
                  <c:v>42.626289792232768</c:v>
                </c:pt>
                <c:pt idx="23">
                  <c:v>42.478270032814507</c:v>
                </c:pt>
                <c:pt idx="24">
                  <c:v>42.330478446421196</c:v>
                </c:pt>
                <c:pt idx="25">
                  <c:v>42.19305088730404</c:v>
                </c:pt>
                <c:pt idx="26">
                  <c:v>42.075225657536549</c:v>
                </c:pt>
                <c:pt idx="27">
                  <c:v>41.981850453855216</c:v>
                </c:pt>
                <c:pt idx="28">
                  <c:v>41.929930693143056</c:v>
                </c:pt>
                <c:pt idx="29">
                  <c:v>41.940485236943886</c:v>
                </c:pt>
                <c:pt idx="30">
                  <c:v>42.020338768986775</c:v>
                </c:pt>
                <c:pt idx="31">
                  <c:v>42.157437004434676</c:v>
                </c:pt>
                <c:pt idx="32">
                  <c:v>42.333789325265634</c:v>
                </c:pt>
                <c:pt idx="33">
                  <c:v>42.532642628634235</c:v>
                </c:pt>
                <c:pt idx="34">
                  <c:v>42.730920282327581</c:v>
                </c:pt>
                <c:pt idx="35">
                  <c:v>42.910167167339068</c:v>
                </c:pt>
                <c:pt idx="36">
                  <c:v>43.060766934549967</c:v>
                </c:pt>
                <c:pt idx="37">
                  <c:v>43.190015232928353</c:v>
                </c:pt>
                <c:pt idx="38">
                  <c:v>43.314144628032857</c:v>
                </c:pt>
                <c:pt idx="39">
                  <c:v>43.421867065642061</c:v>
                </c:pt>
                <c:pt idx="40">
                  <c:v>43.510062155620361</c:v>
                </c:pt>
                <c:pt idx="41">
                  <c:v>43.603573031321609</c:v>
                </c:pt>
                <c:pt idx="42">
                  <c:v>43.71325150709383</c:v>
                </c:pt>
                <c:pt idx="43">
                  <c:v>43.833614396401266</c:v>
                </c:pt>
                <c:pt idx="44">
                  <c:v>43.95789902969765</c:v>
                </c:pt>
                <c:pt idx="45">
                  <c:v>44.092062445450139</c:v>
                </c:pt>
                <c:pt idx="46">
                  <c:v>44.224159162453986</c:v>
                </c:pt>
                <c:pt idx="47">
                  <c:v>44.318168611883436</c:v>
                </c:pt>
                <c:pt idx="48">
                  <c:v>44.347852186014663</c:v>
                </c:pt>
                <c:pt idx="49">
                  <c:v>44.315104643452926</c:v>
                </c:pt>
                <c:pt idx="50">
                  <c:v>44.245109344779422</c:v>
                </c:pt>
                <c:pt idx="51">
                  <c:v>44.176195932866371</c:v>
                </c:pt>
                <c:pt idx="52">
                  <c:v>44.122036829333169</c:v>
                </c:pt>
                <c:pt idx="53">
                  <c:v>44.087428518810299</c:v>
                </c:pt>
                <c:pt idx="54">
                  <c:v>44.076850721450789</c:v>
                </c:pt>
                <c:pt idx="55">
                  <c:v>44.08108408463459</c:v>
                </c:pt>
                <c:pt idx="56">
                  <c:v>44.073315009792424</c:v>
                </c:pt>
                <c:pt idx="57">
                  <c:v>44.019090374536084</c:v>
                </c:pt>
                <c:pt idx="58">
                  <c:v>43.87942898986563</c:v>
                </c:pt>
                <c:pt idx="59">
                  <c:v>43.643074161505481</c:v>
                </c:pt>
                <c:pt idx="60">
                  <c:v>43.325700611899293</c:v>
                </c:pt>
                <c:pt idx="61">
                  <c:v>42.959981475576491</c:v>
                </c:pt>
                <c:pt idx="62">
                  <c:v>42.575232875059527</c:v>
                </c:pt>
                <c:pt idx="63">
                  <c:v>42.206363205027763</c:v>
                </c:pt>
                <c:pt idx="64">
                  <c:v>41.893623175657446</c:v>
                </c:pt>
                <c:pt idx="65">
                  <c:v>41.672582353884188</c:v>
                </c:pt>
                <c:pt idx="66">
                  <c:v>41.569133292786169</c:v>
                </c:pt>
                <c:pt idx="67">
                  <c:v>41.581280630539815</c:v>
                </c:pt>
                <c:pt idx="68">
                  <c:v>41.698040271331365</c:v>
                </c:pt>
                <c:pt idx="69">
                  <c:v>41.900449949756457</c:v>
                </c:pt>
                <c:pt idx="70">
                  <c:v>42.166779378061094</c:v>
                </c:pt>
                <c:pt idx="71">
                  <c:v>42.473848274361046</c:v>
                </c:pt>
                <c:pt idx="72">
                  <c:v>42.805025476893654</c:v>
                </c:pt>
                <c:pt idx="73">
                  <c:v>43.137270615196783</c:v>
                </c:pt>
                <c:pt idx="74">
                  <c:v>43.459621702080454</c:v>
                </c:pt>
                <c:pt idx="75">
                  <c:v>43.776452202840794</c:v>
                </c:pt>
                <c:pt idx="76">
                  <c:v>44.114545558447034</c:v>
                </c:pt>
                <c:pt idx="77">
                  <c:v>44.496476959012178</c:v>
                </c:pt>
                <c:pt idx="78">
                  <c:v>44.896645301437474</c:v>
                </c:pt>
                <c:pt idx="79">
                  <c:v>45.278573005255417</c:v>
                </c:pt>
                <c:pt idx="80">
                  <c:v>45.596487426863781</c:v>
                </c:pt>
                <c:pt idx="81">
                  <c:v>45.810634282982967</c:v>
                </c:pt>
                <c:pt idx="82">
                  <c:v>45.911910495632469</c:v>
                </c:pt>
                <c:pt idx="83">
                  <c:v>45.912961688115672</c:v>
                </c:pt>
                <c:pt idx="84">
                  <c:v>45.825341860388697</c:v>
                </c:pt>
                <c:pt idx="85">
                  <c:v>45.664934839041919</c:v>
                </c:pt>
                <c:pt idx="86">
                  <c:v>45.446543526686085</c:v>
                </c:pt>
                <c:pt idx="87">
                  <c:v>45.191787441771233</c:v>
                </c:pt>
                <c:pt idx="88">
                  <c:v>44.936822565969109</c:v>
                </c:pt>
                <c:pt idx="89">
                  <c:v>44.733883125099794</c:v>
                </c:pt>
                <c:pt idx="90">
                  <c:v>44.599822492652912</c:v>
                </c:pt>
                <c:pt idx="91">
                  <c:v>44.51807691453044</c:v>
                </c:pt>
                <c:pt idx="92">
                  <c:v>44.470949457345199</c:v>
                </c:pt>
                <c:pt idx="93">
                  <c:v>44.447264335010594</c:v>
                </c:pt>
                <c:pt idx="94">
                  <c:v>44.429385509105948</c:v>
                </c:pt>
                <c:pt idx="95">
                  <c:v>44.408623756990458</c:v>
                </c:pt>
                <c:pt idx="96">
                  <c:v>44.412492843867867</c:v>
                </c:pt>
                <c:pt idx="97">
                  <c:v>44.455945539520272</c:v>
                </c:pt>
                <c:pt idx="98">
                  <c:v>44.535273354145183</c:v>
                </c:pt>
                <c:pt idx="99">
                  <c:v>44.645785964290504</c:v>
                </c:pt>
                <c:pt idx="100">
                  <c:v>44.797906183870147</c:v>
                </c:pt>
                <c:pt idx="101">
                  <c:v>44.99921494927743</c:v>
                </c:pt>
                <c:pt idx="102">
                  <c:v>45.244562516457592</c:v>
                </c:pt>
                <c:pt idx="103">
                  <c:v>45.499436911906407</c:v>
                </c:pt>
                <c:pt idx="104">
                  <c:v>45.760835293927492</c:v>
                </c:pt>
                <c:pt idx="105">
                  <c:v>46.027936015607551</c:v>
                </c:pt>
                <c:pt idx="106">
                  <c:v>46.29341232667764</c:v>
                </c:pt>
                <c:pt idx="107">
                  <c:v>46.553478158850353</c:v>
                </c:pt>
                <c:pt idx="108">
                  <c:v>46.763465687812811</c:v>
                </c:pt>
                <c:pt idx="109">
                  <c:v>46.853577643826412</c:v>
                </c:pt>
                <c:pt idx="110">
                  <c:v>46.892537391531974</c:v>
                </c:pt>
                <c:pt idx="111">
                  <c:v>46.918254669821387</c:v>
                </c:pt>
                <c:pt idx="112">
                  <c:v>46.941149549372057</c:v>
                </c:pt>
                <c:pt idx="113">
                  <c:v>46.963339530146001</c:v>
                </c:pt>
                <c:pt idx="114">
                  <c:v>46.985226311964361</c:v>
                </c:pt>
                <c:pt idx="115">
                  <c:v>47.006431165243562</c:v>
                </c:pt>
                <c:pt idx="116">
                  <c:v>47.025567444276746</c:v>
                </c:pt>
                <c:pt idx="117">
                  <c:v>47.040996220202423</c:v>
                </c:pt>
                <c:pt idx="118">
                  <c:v>47.049596862341488</c:v>
                </c:pt>
                <c:pt idx="119">
                  <c:v>47.048792558551682</c:v>
                </c:pt>
                <c:pt idx="120">
                  <c:v>47.036310288314922</c:v>
                </c:pt>
                <c:pt idx="121">
                  <c:v>47.009989964325541</c:v>
                </c:pt>
                <c:pt idx="122">
                  <c:v>46.968558922253415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'Data - PA and NJ Combo Precip.'!$N$9</c:f>
              <c:strCache>
                <c:ptCount val="1"/>
                <c:pt idx="0">
                  <c:v>1901-2000 Average Precipitation = 44.0"</c:v>
                </c:pt>
              </c:strCache>
            </c:strRef>
          </c:tx>
          <c:spPr>
            <a:ln w="9525">
              <a:solidFill>
                <a:schemeClr val="tx1"/>
              </a:solidFill>
              <a:prstDash val="lgDash"/>
            </a:ln>
          </c:spPr>
          <c:marker>
            <c:symbol val="none"/>
          </c:marker>
          <c:cat>
            <c:numRef>
              <c:f>'Data - PA and NJ Combo Precip.'!$J$10:$J$132</c:f>
              <c:numCache>
                <c:formatCode>General</c:formatCode>
                <c:ptCount val="123"/>
                <c:pt idx="0">
                  <c:v>1895</c:v>
                </c:pt>
                <c:pt idx="1">
                  <c:v>1896</c:v>
                </c:pt>
                <c:pt idx="2">
                  <c:v>1897</c:v>
                </c:pt>
                <c:pt idx="3">
                  <c:v>1898</c:v>
                </c:pt>
                <c:pt idx="4">
                  <c:v>1899</c:v>
                </c:pt>
                <c:pt idx="5">
                  <c:v>1900</c:v>
                </c:pt>
                <c:pt idx="6">
                  <c:v>1901</c:v>
                </c:pt>
                <c:pt idx="7">
                  <c:v>1902</c:v>
                </c:pt>
                <c:pt idx="8">
                  <c:v>1903</c:v>
                </c:pt>
                <c:pt idx="9">
                  <c:v>1904</c:v>
                </c:pt>
                <c:pt idx="10">
                  <c:v>1905</c:v>
                </c:pt>
                <c:pt idx="11">
                  <c:v>1906</c:v>
                </c:pt>
                <c:pt idx="12">
                  <c:v>1907</c:v>
                </c:pt>
                <c:pt idx="13">
                  <c:v>1908</c:v>
                </c:pt>
                <c:pt idx="14">
                  <c:v>1909</c:v>
                </c:pt>
                <c:pt idx="15">
                  <c:v>1910</c:v>
                </c:pt>
                <c:pt idx="16">
                  <c:v>1911</c:v>
                </c:pt>
                <c:pt idx="17">
                  <c:v>1912</c:v>
                </c:pt>
                <c:pt idx="18">
                  <c:v>1913</c:v>
                </c:pt>
                <c:pt idx="19">
                  <c:v>1914</c:v>
                </c:pt>
                <c:pt idx="20">
                  <c:v>1915</c:v>
                </c:pt>
                <c:pt idx="21">
                  <c:v>1916</c:v>
                </c:pt>
                <c:pt idx="22">
                  <c:v>1917</c:v>
                </c:pt>
                <c:pt idx="23">
                  <c:v>1918</c:v>
                </c:pt>
                <c:pt idx="24">
                  <c:v>1919</c:v>
                </c:pt>
                <c:pt idx="25">
                  <c:v>1920</c:v>
                </c:pt>
                <c:pt idx="26">
                  <c:v>1921</c:v>
                </c:pt>
                <c:pt idx="27">
                  <c:v>1922</c:v>
                </c:pt>
                <c:pt idx="28">
                  <c:v>1923</c:v>
                </c:pt>
                <c:pt idx="29">
                  <c:v>1924</c:v>
                </c:pt>
                <c:pt idx="30">
                  <c:v>1925</c:v>
                </c:pt>
                <c:pt idx="31">
                  <c:v>1926</c:v>
                </c:pt>
                <c:pt idx="32">
                  <c:v>1927</c:v>
                </c:pt>
                <c:pt idx="33">
                  <c:v>1928</c:v>
                </c:pt>
                <c:pt idx="34">
                  <c:v>1929</c:v>
                </c:pt>
                <c:pt idx="35">
                  <c:v>1930</c:v>
                </c:pt>
                <c:pt idx="36">
                  <c:v>1931</c:v>
                </c:pt>
                <c:pt idx="37">
                  <c:v>1932</c:v>
                </c:pt>
                <c:pt idx="38">
                  <c:v>1933</c:v>
                </c:pt>
                <c:pt idx="39">
                  <c:v>1934</c:v>
                </c:pt>
                <c:pt idx="40">
                  <c:v>1935</c:v>
                </c:pt>
                <c:pt idx="41">
                  <c:v>1936</c:v>
                </c:pt>
                <c:pt idx="42">
                  <c:v>1937</c:v>
                </c:pt>
                <c:pt idx="43">
                  <c:v>1938</c:v>
                </c:pt>
                <c:pt idx="44">
                  <c:v>1939</c:v>
                </c:pt>
                <c:pt idx="45">
                  <c:v>1940</c:v>
                </c:pt>
                <c:pt idx="46">
                  <c:v>1941</c:v>
                </c:pt>
                <c:pt idx="47">
                  <c:v>1942</c:v>
                </c:pt>
                <c:pt idx="48">
                  <c:v>1943</c:v>
                </c:pt>
                <c:pt idx="49">
                  <c:v>1944</c:v>
                </c:pt>
                <c:pt idx="50">
                  <c:v>1945</c:v>
                </c:pt>
                <c:pt idx="51">
                  <c:v>1946</c:v>
                </c:pt>
                <c:pt idx="52">
                  <c:v>1947</c:v>
                </c:pt>
                <c:pt idx="53">
                  <c:v>1948</c:v>
                </c:pt>
                <c:pt idx="54">
                  <c:v>1949</c:v>
                </c:pt>
                <c:pt idx="55">
                  <c:v>1950</c:v>
                </c:pt>
                <c:pt idx="56">
                  <c:v>1951</c:v>
                </c:pt>
                <c:pt idx="57">
                  <c:v>1952</c:v>
                </c:pt>
                <c:pt idx="58">
                  <c:v>1953</c:v>
                </c:pt>
                <c:pt idx="59">
                  <c:v>1954</c:v>
                </c:pt>
                <c:pt idx="60">
                  <c:v>1955</c:v>
                </c:pt>
                <c:pt idx="61">
                  <c:v>1956</c:v>
                </c:pt>
                <c:pt idx="62">
                  <c:v>1957</c:v>
                </c:pt>
                <c:pt idx="63">
                  <c:v>1958</c:v>
                </c:pt>
                <c:pt idx="64">
                  <c:v>1959</c:v>
                </c:pt>
                <c:pt idx="65">
                  <c:v>1960</c:v>
                </c:pt>
                <c:pt idx="66">
                  <c:v>1961</c:v>
                </c:pt>
                <c:pt idx="67">
                  <c:v>1962</c:v>
                </c:pt>
                <c:pt idx="68">
                  <c:v>1963</c:v>
                </c:pt>
                <c:pt idx="69">
                  <c:v>1964</c:v>
                </c:pt>
                <c:pt idx="70">
                  <c:v>1965</c:v>
                </c:pt>
                <c:pt idx="71">
                  <c:v>1966</c:v>
                </c:pt>
                <c:pt idx="72">
                  <c:v>1967</c:v>
                </c:pt>
                <c:pt idx="73">
                  <c:v>1968</c:v>
                </c:pt>
                <c:pt idx="74">
                  <c:v>1969</c:v>
                </c:pt>
                <c:pt idx="75">
                  <c:v>1970</c:v>
                </c:pt>
                <c:pt idx="76">
                  <c:v>1971</c:v>
                </c:pt>
                <c:pt idx="77">
                  <c:v>1972</c:v>
                </c:pt>
                <c:pt idx="78">
                  <c:v>1973</c:v>
                </c:pt>
                <c:pt idx="79">
                  <c:v>1974</c:v>
                </c:pt>
                <c:pt idx="80">
                  <c:v>1975</c:v>
                </c:pt>
                <c:pt idx="81">
                  <c:v>1976</c:v>
                </c:pt>
                <c:pt idx="82">
                  <c:v>1977</c:v>
                </c:pt>
                <c:pt idx="83">
                  <c:v>1978</c:v>
                </c:pt>
                <c:pt idx="84">
                  <c:v>1979</c:v>
                </c:pt>
                <c:pt idx="85">
                  <c:v>1980</c:v>
                </c:pt>
                <c:pt idx="86">
                  <c:v>1981</c:v>
                </c:pt>
                <c:pt idx="87">
                  <c:v>1982</c:v>
                </c:pt>
                <c:pt idx="88">
                  <c:v>1983</c:v>
                </c:pt>
                <c:pt idx="89">
                  <c:v>1984</c:v>
                </c:pt>
                <c:pt idx="90">
                  <c:v>1985</c:v>
                </c:pt>
                <c:pt idx="91">
                  <c:v>1986</c:v>
                </c:pt>
                <c:pt idx="92">
                  <c:v>1987</c:v>
                </c:pt>
                <c:pt idx="93">
                  <c:v>1988</c:v>
                </c:pt>
                <c:pt idx="94">
                  <c:v>1989</c:v>
                </c:pt>
                <c:pt idx="95">
                  <c:v>1990</c:v>
                </c:pt>
                <c:pt idx="96">
                  <c:v>1991</c:v>
                </c:pt>
                <c:pt idx="97">
                  <c:v>1992</c:v>
                </c:pt>
                <c:pt idx="98">
                  <c:v>1993</c:v>
                </c:pt>
                <c:pt idx="99">
                  <c:v>1994</c:v>
                </c:pt>
                <c:pt idx="100">
                  <c:v>1995</c:v>
                </c:pt>
                <c:pt idx="101">
                  <c:v>1996</c:v>
                </c:pt>
                <c:pt idx="102">
                  <c:v>1997</c:v>
                </c:pt>
                <c:pt idx="103">
                  <c:v>1998</c:v>
                </c:pt>
                <c:pt idx="104">
                  <c:v>1999</c:v>
                </c:pt>
                <c:pt idx="105">
                  <c:v>2000</c:v>
                </c:pt>
                <c:pt idx="106">
                  <c:v>2001</c:v>
                </c:pt>
                <c:pt idx="107">
                  <c:v>2002</c:v>
                </c:pt>
                <c:pt idx="108">
                  <c:v>2003</c:v>
                </c:pt>
                <c:pt idx="109">
                  <c:v>2004</c:v>
                </c:pt>
                <c:pt idx="110">
                  <c:v>2005</c:v>
                </c:pt>
                <c:pt idx="111">
                  <c:v>2006</c:v>
                </c:pt>
                <c:pt idx="112">
                  <c:v>2007</c:v>
                </c:pt>
                <c:pt idx="113">
                  <c:v>2008</c:v>
                </c:pt>
                <c:pt idx="114">
                  <c:v>2009</c:v>
                </c:pt>
                <c:pt idx="115">
                  <c:v>2010</c:v>
                </c:pt>
                <c:pt idx="116">
                  <c:v>2011</c:v>
                </c:pt>
                <c:pt idx="117">
                  <c:v>2012</c:v>
                </c:pt>
                <c:pt idx="118">
                  <c:v>2013</c:v>
                </c:pt>
                <c:pt idx="119">
                  <c:v>2014</c:v>
                </c:pt>
                <c:pt idx="120">
                  <c:v>2015</c:v>
                </c:pt>
                <c:pt idx="121">
                  <c:v>2016</c:v>
                </c:pt>
                <c:pt idx="122">
                  <c:v>2017</c:v>
                </c:pt>
              </c:numCache>
            </c:numRef>
          </c:cat>
          <c:val>
            <c:numRef>
              <c:f>'Data - PA and NJ Combo Precip.'!$N$10:$N$132</c:f>
              <c:numCache>
                <c:formatCode>General</c:formatCode>
                <c:ptCount val="123"/>
                <c:pt idx="0">
                  <c:v>43.964450000000006</c:v>
                </c:pt>
                <c:pt idx="1">
                  <c:v>43.964450000000006</c:v>
                </c:pt>
                <c:pt idx="2">
                  <c:v>43.964450000000006</c:v>
                </c:pt>
                <c:pt idx="3">
                  <c:v>43.964450000000006</c:v>
                </c:pt>
                <c:pt idx="4">
                  <c:v>43.964450000000006</c:v>
                </c:pt>
                <c:pt idx="5">
                  <c:v>43.964450000000006</c:v>
                </c:pt>
                <c:pt idx="6">
                  <c:v>43.964450000000006</c:v>
                </c:pt>
                <c:pt idx="7">
                  <c:v>43.964450000000006</c:v>
                </c:pt>
                <c:pt idx="8">
                  <c:v>43.964450000000006</c:v>
                </c:pt>
                <c:pt idx="9">
                  <c:v>43.964450000000006</c:v>
                </c:pt>
                <c:pt idx="10">
                  <c:v>43.964450000000006</c:v>
                </c:pt>
                <c:pt idx="11">
                  <c:v>43.964450000000006</c:v>
                </c:pt>
                <c:pt idx="12">
                  <c:v>43.964450000000006</c:v>
                </c:pt>
                <c:pt idx="13">
                  <c:v>43.964450000000006</c:v>
                </c:pt>
                <c:pt idx="14">
                  <c:v>43.964450000000006</c:v>
                </c:pt>
                <c:pt idx="15">
                  <c:v>43.964450000000006</c:v>
                </c:pt>
                <c:pt idx="16">
                  <c:v>43.964450000000006</c:v>
                </c:pt>
                <c:pt idx="17">
                  <c:v>43.964450000000006</c:v>
                </c:pt>
                <c:pt idx="18">
                  <c:v>43.964450000000006</c:v>
                </c:pt>
                <c:pt idx="19">
                  <c:v>43.964450000000006</c:v>
                </c:pt>
                <c:pt idx="20">
                  <c:v>43.964450000000006</c:v>
                </c:pt>
                <c:pt idx="21">
                  <c:v>43.964450000000006</c:v>
                </c:pt>
                <c:pt idx="22">
                  <c:v>43.964450000000006</c:v>
                </c:pt>
                <c:pt idx="23">
                  <c:v>43.964450000000006</c:v>
                </c:pt>
                <c:pt idx="24">
                  <c:v>43.964450000000006</c:v>
                </c:pt>
                <c:pt idx="25">
                  <c:v>43.964450000000006</c:v>
                </c:pt>
                <c:pt idx="26">
                  <c:v>43.964450000000006</c:v>
                </c:pt>
                <c:pt idx="27">
                  <c:v>43.964450000000006</c:v>
                </c:pt>
                <c:pt idx="28">
                  <c:v>43.964450000000006</c:v>
                </c:pt>
                <c:pt idx="29">
                  <c:v>43.964450000000006</c:v>
                </c:pt>
                <c:pt idx="30">
                  <c:v>43.964450000000006</c:v>
                </c:pt>
                <c:pt idx="31">
                  <c:v>43.964450000000006</c:v>
                </c:pt>
                <c:pt idx="32">
                  <c:v>43.964450000000006</c:v>
                </c:pt>
                <c:pt idx="33">
                  <c:v>43.964450000000006</c:v>
                </c:pt>
                <c:pt idx="34">
                  <c:v>43.964450000000006</c:v>
                </c:pt>
                <c:pt idx="35">
                  <c:v>43.964450000000006</c:v>
                </c:pt>
                <c:pt idx="36">
                  <c:v>43.964450000000006</c:v>
                </c:pt>
                <c:pt idx="37">
                  <c:v>43.964450000000006</c:v>
                </c:pt>
                <c:pt idx="38">
                  <c:v>43.964450000000006</c:v>
                </c:pt>
                <c:pt idx="39">
                  <c:v>43.964450000000006</c:v>
                </c:pt>
                <c:pt idx="40">
                  <c:v>43.964450000000006</c:v>
                </c:pt>
                <c:pt idx="41">
                  <c:v>43.964450000000006</c:v>
                </c:pt>
                <c:pt idx="42">
                  <c:v>43.964450000000006</c:v>
                </c:pt>
                <c:pt idx="43">
                  <c:v>43.964450000000006</c:v>
                </c:pt>
                <c:pt idx="44">
                  <c:v>43.964450000000006</c:v>
                </c:pt>
                <c:pt idx="45">
                  <c:v>43.964450000000006</c:v>
                </c:pt>
                <c:pt idx="46">
                  <c:v>43.964450000000006</c:v>
                </c:pt>
                <c:pt idx="47">
                  <c:v>43.964450000000006</c:v>
                </c:pt>
                <c:pt idx="48">
                  <c:v>43.964450000000006</c:v>
                </c:pt>
                <c:pt idx="49">
                  <c:v>43.964450000000006</c:v>
                </c:pt>
                <c:pt idx="50">
                  <c:v>43.964450000000006</c:v>
                </c:pt>
                <c:pt idx="51">
                  <c:v>43.964450000000006</c:v>
                </c:pt>
                <c:pt idx="52">
                  <c:v>43.964450000000006</c:v>
                </c:pt>
                <c:pt idx="53">
                  <c:v>43.964450000000006</c:v>
                </c:pt>
                <c:pt idx="54">
                  <c:v>43.964450000000006</c:v>
                </c:pt>
                <c:pt idx="55">
                  <c:v>43.964450000000006</c:v>
                </c:pt>
                <c:pt idx="56">
                  <c:v>43.964450000000006</c:v>
                </c:pt>
                <c:pt idx="57">
                  <c:v>43.964450000000006</c:v>
                </c:pt>
                <c:pt idx="58">
                  <c:v>43.964450000000006</c:v>
                </c:pt>
                <c:pt idx="59">
                  <c:v>43.964450000000006</c:v>
                </c:pt>
                <c:pt idx="60">
                  <c:v>43.964450000000006</c:v>
                </c:pt>
                <c:pt idx="61">
                  <c:v>43.964450000000006</c:v>
                </c:pt>
                <c:pt idx="62">
                  <c:v>43.964450000000006</c:v>
                </c:pt>
                <c:pt idx="63">
                  <c:v>43.964450000000006</c:v>
                </c:pt>
                <c:pt idx="64">
                  <c:v>43.964450000000006</c:v>
                </c:pt>
                <c:pt idx="65">
                  <c:v>43.964450000000006</c:v>
                </c:pt>
                <c:pt idx="66">
                  <c:v>43.964450000000006</c:v>
                </c:pt>
                <c:pt idx="67">
                  <c:v>43.964450000000006</c:v>
                </c:pt>
                <c:pt idx="68">
                  <c:v>43.964450000000006</c:v>
                </c:pt>
                <c:pt idx="69">
                  <c:v>43.964450000000006</c:v>
                </c:pt>
                <c:pt idx="70">
                  <c:v>43.964450000000006</c:v>
                </c:pt>
                <c:pt idx="71">
                  <c:v>43.964450000000006</c:v>
                </c:pt>
                <c:pt idx="72">
                  <c:v>43.964450000000006</c:v>
                </c:pt>
                <c:pt idx="73">
                  <c:v>43.964450000000006</c:v>
                </c:pt>
                <c:pt idx="74">
                  <c:v>43.964450000000006</c:v>
                </c:pt>
                <c:pt idx="75">
                  <c:v>43.964450000000006</c:v>
                </c:pt>
                <c:pt idx="76">
                  <c:v>43.964450000000006</c:v>
                </c:pt>
                <c:pt idx="77">
                  <c:v>43.964450000000006</c:v>
                </c:pt>
                <c:pt idx="78">
                  <c:v>43.964450000000006</c:v>
                </c:pt>
                <c:pt idx="79">
                  <c:v>43.964450000000006</c:v>
                </c:pt>
                <c:pt idx="80">
                  <c:v>43.964450000000006</c:v>
                </c:pt>
                <c:pt idx="81">
                  <c:v>43.964450000000006</c:v>
                </c:pt>
                <c:pt idx="82">
                  <c:v>43.964450000000006</c:v>
                </c:pt>
                <c:pt idx="83">
                  <c:v>43.964450000000006</c:v>
                </c:pt>
                <c:pt idx="84">
                  <c:v>43.964450000000006</c:v>
                </c:pt>
                <c:pt idx="85">
                  <c:v>43.964450000000006</c:v>
                </c:pt>
                <c:pt idx="86">
                  <c:v>43.964450000000006</c:v>
                </c:pt>
                <c:pt idx="87">
                  <c:v>43.964450000000006</c:v>
                </c:pt>
                <c:pt idx="88">
                  <c:v>43.964450000000006</c:v>
                </c:pt>
                <c:pt idx="89">
                  <c:v>43.964450000000006</c:v>
                </c:pt>
                <c:pt idx="90">
                  <c:v>43.964450000000006</c:v>
                </c:pt>
                <c:pt idx="91">
                  <c:v>43.964450000000006</c:v>
                </c:pt>
                <c:pt idx="92">
                  <c:v>43.964450000000006</c:v>
                </c:pt>
                <c:pt idx="93">
                  <c:v>43.964450000000006</c:v>
                </c:pt>
                <c:pt idx="94">
                  <c:v>43.964450000000006</c:v>
                </c:pt>
                <c:pt idx="95">
                  <c:v>43.964450000000006</c:v>
                </c:pt>
                <c:pt idx="96">
                  <c:v>43.964450000000006</c:v>
                </c:pt>
                <c:pt idx="97">
                  <c:v>43.964450000000006</c:v>
                </c:pt>
                <c:pt idx="98">
                  <c:v>43.964450000000006</c:v>
                </c:pt>
                <c:pt idx="99">
                  <c:v>43.964450000000006</c:v>
                </c:pt>
                <c:pt idx="100">
                  <c:v>43.964450000000006</c:v>
                </c:pt>
                <c:pt idx="101">
                  <c:v>43.964450000000006</c:v>
                </c:pt>
                <c:pt idx="102">
                  <c:v>43.964450000000006</c:v>
                </c:pt>
                <c:pt idx="103">
                  <c:v>43.964450000000006</c:v>
                </c:pt>
                <c:pt idx="104">
                  <c:v>43.964450000000006</c:v>
                </c:pt>
                <c:pt idx="105">
                  <c:v>43.964450000000006</c:v>
                </c:pt>
                <c:pt idx="106">
                  <c:v>43.964450000000006</c:v>
                </c:pt>
                <c:pt idx="107">
                  <c:v>43.964450000000006</c:v>
                </c:pt>
                <c:pt idx="108">
                  <c:v>43.964450000000006</c:v>
                </c:pt>
                <c:pt idx="109">
                  <c:v>43.964450000000006</c:v>
                </c:pt>
                <c:pt idx="110">
                  <c:v>43.964450000000006</c:v>
                </c:pt>
                <c:pt idx="111">
                  <c:v>43.964450000000006</c:v>
                </c:pt>
                <c:pt idx="112">
                  <c:v>43.964450000000006</c:v>
                </c:pt>
                <c:pt idx="113">
                  <c:v>43.964450000000006</c:v>
                </c:pt>
                <c:pt idx="114">
                  <c:v>43.964450000000006</c:v>
                </c:pt>
                <c:pt idx="115">
                  <c:v>43.964450000000006</c:v>
                </c:pt>
                <c:pt idx="116">
                  <c:v>43.964450000000006</c:v>
                </c:pt>
                <c:pt idx="117">
                  <c:v>43.964450000000006</c:v>
                </c:pt>
                <c:pt idx="118">
                  <c:v>43.964450000000006</c:v>
                </c:pt>
                <c:pt idx="119">
                  <c:v>43.964450000000006</c:v>
                </c:pt>
                <c:pt idx="120">
                  <c:v>43.964450000000006</c:v>
                </c:pt>
                <c:pt idx="121">
                  <c:v>43.964450000000006</c:v>
                </c:pt>
                <c:pt idx="122">
                  <c:v>43.964450000000006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078272"/>
        <c:axId val="97088256"/>
      </c:lineChart>
      <c:catAx>
        <c:axId val="9707827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9708825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7088256"/>
        <c:scaling>
          <c:orientation val="minMax"/>
          <c:max val="65"/>
          <c:min val="25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2000"/>
                </a:pPr>
                <a:r>
                  <a:rPr lang="en-US" sz="2000"/>
                  <a:t>Average Annual Precipitation in Inches</a:t>
                </a:r>
              </a:p>
            </c:rich>
          </c:tx>
          <c:layout>
            <c:manualLayout>
              <c:xMode val="edge"/>
              <c:yMode val="edge"/>
              <c:x val="6.5560437919116614E-3"/>
              <c:y val="0.205566531456295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7078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5514589820478"/>
          <c:y val="0.17369028871391076"/>
          <c:w val="0.48425002116272942"/>
          <c:h val="0.1414459556191839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00987817312464"/>
          <c:y val="7.4954585222301764E-2"/>
          <c:w val="0.88958181284497029"/>
          <c:h val="0.76923407301360058"/>
        </c:manualLayout>
      </c:layout>
      <c:barChart>
        <c:barDir val="col"/>
        <c:grouping val="clustered"/>
        <c:varyColors val="0"/>
        <c:ser>
          <c:idx val="3"/>
          <c:order val="0"/>
          <c:tx>
            <c:v>Actual Percentage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invertIfNegative val="0"/>
          <c:cat>
            <c:numRef>
              <c:f>'Data - Perc in Intense Storms'!$C$3:$C$110</c:f>
              <c:numCache>
                <c:formatCode>General</c:formatCode>
                <c:ptCount val="108"/>
                <c:pt idx="0">
                  <c:v>1910</c:v>
                </c:pt>
                <c:pt idx="1">
                  <c:v>1911</c:v>
                </c:pt>
                <c:pt idx="2">
                  <c:v>1912</c:v>
                </c:pt>
                <c:pt idx="3">
                  <c:v>1913</c:v>
                </c:pt>
                <c:pt idx="4">
                  <c:v>1914</c:v>
                </c:pt>
                <c:pt idx="5">
                  <c:v>1915</c:v>
                </c:pt>
                <c:pt idx="6">
                  <c:v>1916</c:v>
                </c:pt>
                <c:pt idx="7">
                  <c:v>1917</c:v>
                </c:pt>
                <c:pt idx="8">
                  <c:v>1918</c:v>
                </c:pt>
                <c:pt idx="9">
                  <c:v>1919</c:v>
                </c:pt>
                <c:pt idx="10">
                  <c:v>1920</c:v>
                </c:pt>
                <c:pt idx="11">
                  <c:v>1921</c:v>
                </c:pt>
                <c:pt idx="12">
                  <c:v>1922</c:v>
                </c:pt>
                <c:pt idx="13">
                  <c:v>1923</c:v>
                </c:pt>
                <c:pt idx="14">
                  <c:v>1924</c:v>
                </c:pt>
                <c:pt idx="15">
                  <c:v>1925</c:v>
                </c:pt>
                <c:pt idx="16">
                  <c:v>1926</c:v>
                </c:pt>
                <c:pt idx="17">
                  <c:v>1927</c:v>
                </c:pt>
                <c:pt idx="18">
                  <c:v>1928</c:v>
                </c:pt>
                <c:pt idx="19">
                  <c:v>1929</c:v>
                </c:pt>
                <c:pt idx="20">
                  <c:v>1930</c:v>
                </c:pt>
                <c:pt idx="21">
                  <c:v>1931</c:v>
                </c:pt>
                <c:pt idx="22">
                  <c:v>1932</c:v>
                </c:pt>
                <c:pt idx="23">
                  <c:v>1933</c:v>
                </c:pt>
                <c:pt idx="24">
                  <c:v>1934</c:v>
                </c:pt>
                <c:pt idx="25">
                  <c:v>1935</c:v>
                </c:pt>
                <c:pt idx="26">
                  <c:v>1936</c:v>
                </c:pt>
                <c:pt idx="27">
                  <c:v>1937</c:v>
                </c:pt>
                <c:pt idx="28">
                  <c:v>1938</c:v>
                </c:pt>
                <c:pt idx="29">
                  <c:v>1939</c:v>
                </c:pt>
                <c:pt idx="30">
                  <c:v>1940</c:v>
                </c:pt>
                <c:pt idx="31">
                  <c:v>1941</c:v>
                </c:pt>
                <c:pt idx="32">
                  <c:v>1942</c:v>
                </c:pt>
                <c:pt idx="33">
                  <c:v>1943</c:v>
                </c:pt>
                <c:pt idx="34">
                  <c:v>1944</c:v>
                </c:pt>
                <c:pt idx="35">
                  <c:v>1945</c:v>
                </c:pt>
                <c:pt idx="36">
                  <c:v>1946</c:v>
                </c:pt>
                <c:pt idx="37">
                  <c:v>1947</c:v>
                </c:pt>
                <c:pt idx="38">
                  <c:v>1948</c:v>
                </c:pt>
                <c:pt idx="39">
                  <c:v>1949</c:v>
                </c:pt>
                <c:pt idx="40">
                  <c:v>1950</c:v>
                </c:pt>
                <c:pt idx="41">
                  <c:v>1951</c:v>
                </c:pt>
                <c:pt idx="42">
                  <c:v>1952</c:v>
                </c:pt>
                <c:pt idx="43">
                  <c:v>1953</c:v>
                </c:pt>
                <c:pt idx="44">
                  <c:v>1954</c:v>
                </c:pt>
                <c:pt idx="45">
                  <c:v>1955</c:v>
                </c:pt>
                <c:pt idx="46">
                  <c:v>1956</c:v>
                </c:pt>
                <c:pt idx="47">
                  <c:v>1957</c:v>
                </c:pt>
                <c:pt idx="48">
                  <c:v>1958</c:v>
                </c:pt>
                <c:pt idx="49">
                  <c:v>1959</c:v>
                </c:pt>
                <c:pt idx="50">
                  <c:v>1960</c:v>
                </c:pt>
                <c:pt idx="51">
                  <c:v>1961</c:v>
                </c:pt>
                <c:pt idx="52">
                  <c:v>1962</c:v>
                </c:pt>
                <c:pt idx="53">
                  <c:v>1963</c:v>
                </c:pt>
                <c:pt idx="54">
                  <c:v>1964</c:v>
                </c:pt>
                <c:pt idx="55">
                  <c:v>1965</c:v>
                </c:pt>
                <c:pt idx="56">
                  <c:v>1966</c:v>
                </c:pt>
                <c:pt idx="57">
                  <c:v>1967</c:v>
                </c:pt>
                <c:pt idx="58">
                  <c:v>1968</c:v>
                </c:pt>
                <c:pt idx="59">
                  <c:v>1969</c:v>
                </c:pt>
                <c:pt idx="60">
                  <c:v>1970</c:v>
                </c:pt>
                <c:pt idx="61">
                  <c:v>1971</c:v>
                </c:pt>
                <c:pt idx="62">
                  <c:v>1972</c:v>
                </c:pt>
                <c:pt idx="63">
                  <c:v>1973</c:v>
                </c:pt>
                <c:pt idx="64">
                  <c:v>1974</c:v>
                </c:pt>
                <c:pt idx="65">
                  <c:v>1975</c:v>
                </c:pt>
                <c:pt idx="66">
                  <c:v>1976</c:v>
                </c:pt>
                <c:pt idx="67">
                  <c:v>1977</c:v>
                </c:pt>
                <c:pt idx="68">
                  <c:v>1978</c:v>
                </c:pt>
                <c:pt idx="69">
                  <c:v>1979</c:v>
                </c:pt>
                <c:pt idx="70">
                  <c:v>1980</c:v>
                </c:pt>
                <c:pt idx="71">
                  <c:v>1981</c:v>
                </c:pt>
                <c:pt idx="72">
                  <c:v>1982</c:v>
                </c:pt>
                <c:pt idx="73">
                  <c:v>1983</c:v>
                </c:pt>
                <c:pt idx="74">
                  <c:v>1984</c:v>
                </c:pt>
                <c:pt idx="75">
                  <c:v>1985</c:v>
                </c:pt>
                <c:pt idx="76">
                  <c:v>1986</c:v>
                </c:pt>
                <c:pt idx="77">
                  <c:v>1987</c:v>
                </c:pt>
                <c:pt idx="78">
                  <c:v>1988</c:v>
                </c:pt>
                <c:pt idx="79">
                  <c:v>1989</c:v>
                </c:pt>
                <c:pt idx="80">
                  <c:v>1990</c:v>
                </c:pt>
                <c:pt idx="81">
                  <c:v>1991</c:v>
                </c:pt>
                <c:pt idx="82">
                  <c:v>1992</c:v>
                </c:pt>
                <c:pt idx="83">
                  <c:v>1993</c:v>
                </c:pt>
                <c:pt idx="84">
                  <c:v>1994</c:v>
                </c:pt>
                <c:pt idx="85">
                  <c:v>1995</c:v>
                </c:pt>
                <c:pt idx="86">
                  <c:v>1996</c:v>
                </c:pt>
                <c:pt idx="87">
                  <c:v>1997</c:v>
                </c:pt>
                <c:pt idx="88">
                  <c:v>1998</c:v>
                </c:pt>
                <c:pt idx="89">
                  <c:v>1999</c:v>
                </c:pt>
                <c:pt idx="90">
                  <c:v>2000</c:v>
                </c:pt>
                <c:pt idx="91">
                  <c:v>2001</c:v>
                </c:pt>
                <c:pt idx="92">
                  <c:v>2002</c:v>
                </c:pt>
                <c:pt idx="93">
                  <c:v>2003</c:v>
                </c:pt>
                <c:pt idx="94">
                  <c:v>2004</c:v>
                </c:pt>
                <c:pt idx="95">
                  <c:v>2005</c:v>
                </c:pt>
                <c:pt idx="96">
                  <c:v>2006</c:v>
                </c:pt>
                <c:pt idx="97">
                  <c:v>2007</c:v>
                </c:pt>
                <c:pt idx="98">
                  <c:v>2008</c:v>
                </c:pt>
                <c:pt idx="99">
                  <c:v>2009</c:v>
                </c:pt>
                <c:pt idx="100">
                  <c:v>2010</c:v>
                </c:pt>
                <c:pt idx="101">
                  <c:v>2011</c:v>
                </c:pt>
                <c:pt idx="102">
                  <c:v>2012</c:v>
                </c:pt>
                <c:pt idx="103">
                  <c:v>2013</c:v>
                </c:pt>
                <c:pt idx="104">
                  <c:v>2014</c:v>
                </c:pt>
                <c:pt idx="105">
                  <c:v>2015</c:v>
                </c:pt>
                <c:pt idx="106">
                  <c:v>2016</c:v>
                </c:pt>
                <c:pt idx="107">
                  <c:v>2017</c:v>
                </c:pt>
              </c:numCache>
            </c:numRef>
          </c:cat>
          <c:val>
            <c:numRef>
              <c:f>'Data - Perc in Intense Storms'!$B$3:$B$110</c:f>
              <c:numCache>
                <c:formatCode>General</c:formatCode>
                <c:ptCount val="108"/>
                <c:pt idx="0">
                  <c:v>11.9</c:v>
                </c:pt>
                <c:pt idx="1">
                  <c:v>14.2</c:v>
                </c:pt>
                <c:pt idx="2">
                  <c:v>14.4</c:v>
                </c:pt>
                <c:pt idx="3">
                  <c:v>26.3</c:v>
                </c:pt>
                <c:pt idx="4">
                  <c:v>16.7</c:v>
                </c:pt>
                <c:pt idx="5">
                  <c:v>21</c:v>
                </c:pt>
                <c:pt idx="6">
                  <c:v>16.8</c:v>
                </c:pt>
                <c:pt idx="7">
                  <c:v>0</c:v>
                </c:pt>
                <c:pt idx="8">
                  <c:v>16.600000000000001</c:v>
                </c:pt>
                <c:pt idx="9">
                  <c:v>0</c:v>
                </c:pt>
                <c:pt idx="10">
                  <c:v>16.3</c:v>
                </c:pt>
                <c:pt idx="11">
                  <c:v>5.3</c:v>
                </c:pt>
                <c:pt idx="12">
                  <c:v>5.8</c:v>
                </c:pt>
                <c:pt idx="13">
                  <c:v>0</c:v>
                </c:pt>
                <c:pt idx="14">
                  <c:v>29.3</c:v>
                </c:pt>
                <c:pt idx="15">
                  <c:v>0</c:v>
                </c:pt>
                <c:pt idx="16">
                  <c:v>0</c:v>
                </c:pt>
                <c:pt idx="17">
                  <c:v>5.5</c:v>
                </c:pt>
                <c:pt idx="18">
                  <c:v>5.3</c:v>
                </c:pt>
                <c:pt idx="19">
                  <c:v>10</c:v>
                </c:pt>
                <c:pt idx="20">
                  <c:v>0</c:v>
                </c:pt>
                <c:pt idx="21">
                  <c:v>4.9000000000000004</c:v>
                </c:pt>
                <c:pt idx="22">
                  <c:v>10.5</c:v>
                </c:pt>
                <c:pt idx="23">
                  <c:v>5.0999999999999996</c:v>
                </c:pt>
                <c:pt idx="24">
                  <c:v>0</c:v>
                </c:pt>
                <c:pt idx="25">
                  <c:v>9.8000000000000007</c:v>
                </c:pt>
                <c:pt idx="26">
                  <c:v>5.4</c:v>
                </c:pt>
                <c:pt idx="27">
                  <c:v>24.7</c:v>
                </c:pt>
                <c:pt idx="28">
                  <c:v>9.9</c:v>
                </c:pt>
                <c:pt idx="29">
                  <c:v>0</c:v>
                </c:pt>
                <c:pt idx="30">
                  <c:v>4.8</c:v>
                </c:pt>
                <c:pt idx="31">
                  <c:v>10</c:v>
                </c:pt>
                <c:pt idx="32">
                  <c:v>15.7</c:v>
                </c:pt>
                <c:pt idx="33">
                  <c:v>0</c:v>
                </c:pt>
                <c:pt idx="34">
                  <c:v>0</c:v>
                </c:pt>
                <c:pt idx="35">
                  <c:v>10.4</c:v>
                </c:pt>
                <c:pt idx="36">
                  <c:v>15.9</c:v>
                </c:pt>
                <c:pt idx="37">
                  <c:v>9.8000000000000007</c:v>
                </c:pt>
                <c:pt idx="38">
                  <c:v>4.9000000000000004</c:v>
                </c:pt>
                <c:pt idx="39">
                  <c:v>0</c:v>
                </c:pt>
                <c:pt idx="40">
                  <c:v>5</c:v>
                </c:pt>
                <c:pt idx="41">
                  <c:v>0</c:v>
                </c:pt>
                <c:pt idx="42">
                  <c:v>20.2</c:v>
                </c:pt>
                <c:pt idx="43">
                  <c:v>9.9</c:v>
                </c:pt>
                <c:pt idx="44">
                  <c:v>5.0999999999999996</c:v>
                </c:pt>
                <c:pt idx="45">
                  <c:v>15.3</c:v>
                </c:pt>
                <c:pt idx="46">
                  <c:v>5.0999999999999996</c:v>
                </c:pt>
                <c:pt idx="47">
                  <c:v>5.0999999999999996</c:v>
                </c:pt>
                <c:pt idx="48">
                  <c:v>5.0999999999999996</c:v>
                </c:pt>
                <c:pt idx="49">
                  <c:v>0</c:v>
                </c:pt>
                <c:pt idx="50">
                  <c:v>19.8</c:v>
                </c:pt>
                <c:pt idx="51">
                  <c:v>0</c:v>
                </c:pt>
                <c:pt idx="52">
                  <c:v>5.2</c:v>
                </c:pt>
                <c:pt idx="53">
                  <c:v>0</c:v>
                </c:pt>
                <c:pt idx="54">
                  <c:v>5.0999999999999996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5.2</c:v>
                </c:pt>
                <c:pt idx="59">
                  <c:v>4.8</c:v>
                </c:pt>
                <c:pt idx="60">
                  <c:v>0</c:v>
                </c:pt>
                <c:pt idx="61">
                  <c:v>10.3</c:v>
                </c:pt>
                <c:pt idx="62">
                  <c:v>5.2</c:v>
                </c:pt>
                <c:pt idx="63">
                  <c:v>10.6</c:v>
                </c:pt>
                <c:pt idx="64">
                  <c:v>0</c:v>
                </c:pt>
                <c:pt idx="65">
                  <c:v>16.8</c:v>
                </c:pt>
                <c:pt idx="66">
                  <c:v>4.9000000000000004</c:v>
                </c:pt>
                <c:pt idx="67">
                  <c:v>20</c:v>
                </c:pt>
                <c:pt idx="68">
                  <c:v>0</c:v>
                </c:pt>
                <c:pt idx="69">
                  <c:v>20.3</c:v>
                </c:pt>
                <c:pt idx="70">
                  <c:v>0</c:v>
                </c:pt>
                <c:pt idx="71">
                  <c:v>5.3</c:v>
                </c:pt>
                <c:pt idx="72">
                  <c:v>10</c:v>
                </c:pt>
                <c:pt idx="73">
                  <c:v>20.7</c:v>
                </c:pt>
                <c:pt idx="74">
                  <c:v>0</c:v>
                </c:pt>
                <c:pt idx="75">
                  <c:v>12</c:v>
                </c:pt>
                <c:pt idx="76">
                  <c:v>5.6</c:v>
                </c:pt>
                <c:pt idx="77">
                  <c:v>9.6</c:v>
                </c:pt>
                <c:pt idx="78">
                  <c:v>5.0999999999999996</c:v>
                </c:pt>
                <c:pt idx="79">
                  <c:v>15.4</c:v>
                </c:pt>
                <c:pt idx="80">
                  <c:v>19.899999999999999</c:v>
                </c:pt>
                <c:pt idx="81">
                  <c:v>10.199999999999999</c:v>
                </c:pt>
                <c:pt idx="82">
                  <c:v>9.9</c:v>
                </c:pt>
                <c:pt idx="83">
                  <c:v>0</c:v>
                </c:pt>
                <c:pt idx="84">
                  <c:v>15.1</c:v>
                </c:pt>
                <c:pt idx="85">
                  <c:v>14.9</c:v>
                </c:pt>
                <c:pt idx="86">
                  <c:v>25.2</c:v>
                </c:pt>
                <c:pt idx="87">
                  <c:v>0</c:v>
                </c:pt>
                <c:pt idx="88">
                  <c:v>20.3</c:v>
                </c:pt>
                <c:pt idx="89">
                  <c:v>30</c:v>
                </c:pt>
                <c:pt idx="90">
                  <c:v>10.3</c:v>
                </c:pt>
                <c:pt idx="91">
                  <c:v>10.199999999999999</c:v>
                </c:pt>
                <c:pt idx="92">
                  <c:v>5.3</c:v>
                </c:pt>
                <c:pt idx="93">
                  <c:v>38.700000000000003</c:v>
                </c:pt>
                <c:pt idx="94">
                  <c:v>20.2</c:v>
                </c:pt>
                <c:pt idx="95">
                  <c:v>44.7</c:v>
                </c:pt>
                <c:pt idx="96">
                  <c:v>41.8</c:v>
                </c:pt>
                <c:pt idx="97">
                  <c:v>5.4</c:v>
                </c:pt>
                <c:pt idx="98">
                  <c:v>10.9</c:v>
                </c:pt>
                <c:pt idx="99">
                  <c:v>5.5</c:v>
                </c:pt>
                <c:pt idx="100">
                  <c:v>22.2</c:v>
                </c:pt>
                <c:pt idx="101">
                  <c:v>55.5</c:v>
                </c:pt>
                <c:pt idx="102">
                  <c:v>5.3</c:v>
                </c:pt>
                <c:pt idx="103">
                  <c:v>29.4</c:v>
                </c:pt>
                <c:pt idx="104">
                  <c:v>6.1</c:v>
                </c:pt>
                <c:pt idx="105">
                  <c:v>29.3</c:v>
                </c:pt>
                <c:pt idx="106">
                  <c:v>0</c:v>
                </c:pt>
                <c:pt idx="107">
                  <c:v>13.3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684480"/>
        <c:axId val="97690368"/>
      </c:barChart>
      <c:lineChart>
        <c:grouping val="standard"/>
        <c:varyColors val="0"/>
        <c:ser>
          <c:idx val="4"/>
          <c:order val="1"/>
          <c:tx>
            <c:v>Trend -- 30 Year Moving Average</c:v>
          </c:tx>
          <c:spPr>
            <a:ln w="571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'Data - Perc in Intense Storms'!$C$3:$C$110</c:f>
              <c:numCache>
                <c:formatCode>General</c:formatCode>
                <c:ptCount val="108"/>
                <c:pt idx="0">
                  <c:v>1910</c:v>
                </c:pt>
                <c:pt idx="1">
                  <c:v>1911</c:v>
                </c:pt>
                <c:pt idx="2">
                  <c:v>1912</c:v>
                </c:pt>
                <c:pt idx="3">
                  <c:v>1913</c:v>
                </c:pt>
                <c:pt idx="4">
                  <c:v>1914</c:v>
                </c:pt>
                <c:pt idx="5">
                  <c:v>1915</c:v>
                </c:pt>
                <c:pt idx="6">
                  <c:v>1916</c:v>
                </c:pt>
                <c:pt idx="7">
                  <c:v>1917</c:v>
                </c:pt>
                <c:pt idx="8">
                  <c:v>1918</c:v>
                </c:pt>
                <c:pt idx="9">
                  <c:v>1919</c:v>
                </c:pt>
                <c:pt idx="10">
                  <c:v>1920</c:v>
                </c:pt>
                <c:pt idx="11">
                  <c:v>1921</c:v>
                </c:pt>
                <c:pt idx="12">
                  <c:v>1922</c:v>
                </c:pt>
                <c:pt idx="13">
                  <c:v>1923</c:v>
                </c:pt>
                <c:pt idx="14">
                  <c:v>1924</c:v>
                </c:pt>
                <c:pt idx="15">
                  <c:v>1925</c:v>
                </c:pt>
                <c:pt idx="16">
                  <c:v>1926</c:v>
                </c:pt>
                <c:pt idx="17">
                  <c:v>1927</c:v>
                </c:pt>
                <c:pt idx="18">
                  <c:v>1928</c:v>
                </c:pt>
                <c:pt idx="19">
                  <c:v>1929</c:v>
                </c:pt>
                <c:pt idx="20">
                  <c:v>1930</c:v>
                </c:pt>
                <c:pt idx="21">
                  <c:v>1931</c:v>
                </c:pt>
                <c:pt idx="22">
                  <c:v>1932</c:v>
                </c:pt>
                <c:pt idx="23">
                  <c:v>1933</c:v>
                </c:pt>
                <c:pt idx="24">
                  <c:v>1934</c:v>
                </c:pt>
                <c:pt idx="25">
                  <c:v>1935</c:v>
                </c:pt>
                <c:pt idx="26">
                  <c:v>1936</c:v>
                </c:pt>
                <c:pt idx="27">
                  <c:v>1937</c:v>
                </c:pt>
                <c:pt idx="28">
                  <c:v>1938</c:v>
                </c:pt>
                <c:pt idx="29">
                  <c:v>1939</c:v>
                </c:pt>
                <c:pt idx="30">
                  <c:v>1940</c:v>
                </c:pt>
                <c:pt idx="31">
                  <c:v>1941</c:v>
                </c:pt>
                <c:pt idx="32">
                  <c:v>1942</c:v>
                </c:pt>
                <c:pt idx="33">
                  <c:v>1943</c:v>
                </c:pt>
                <c:pt idx="34">
                  <c:v>1944</c:v>
                </c:pt>
                <c:pt idx="35">
                  <c:v>1945</c:v>
                </c:pt>
                <c:pt idx="36">
                  <c:v>1946</c:v>
                </c:pt>
                <c:pt idx="37">
                  <c:v>1947</c:v>
                </c:pt>
                <c:pt idx="38">
                  <c:v>1948</c:v>
                </c:pt>
                <c:pt idx="39">
                  <c:v>1949</c:v>
                </c:pt>
                <c:pt idx="40">
                  <c:v>1950</c:v>
                </c:pt>
                <c:pt idx="41">
                  <c:v>1951</c:v>
                </c:pt>
                <c:pt idx="42">
                  <c:v>1952</c:v>
                </c:pt>
                <c:pt idx="43">
                  <c:v>1953</c:v>
                </c:pt>
                <c:pt idx="44">
                  <c:v>1954</c:v>
                </c:pt>
                <c:pt idx="45">
                  <c:v>1955</c:v>
                </c:pt>
                <c:pt idx="46">
                  <c:v>1956</c:v>
                </c:pt>
                <c:pt idx="47">
                  <c:v>1957</c:v>
                </c:pt>
                <c:pt idx="48">
                  <c:v>1958</c:v>
                </c:pt>
                <c:pt idx="49">
                  <c:v>1959</c:v>
                </c:pt>
                <c:pt idx="50">
                  <c:v>1960</c:v>
                </c:pt>
                <c:pt idx="51">
                  <c:v>1961</c:v>
                </c:pt>
                <c:pt idx="52">
                  <c:v>1962</c:v>
                </c:pt>
                <c:pt idx="53">
                  <c:v>1963</c:v>
                </c:pt>
                <c:pt idx="54">
                  <c:v>1964</c:v>
                </c:pt>
                <c:pt idx="55">
                  <c:v>1965</c:v>
                </c:pt>
                <c:pt idx="56">
                  <c:v>1966</c:v>
                </c:pt>
                <c:pt idx="57">
                  <c:v>1967</c:v>
                </c:pt>
                <c:pt idx="58">
                  <c:v>1968</c:v>
                </c:pt>
                <c:pt idx="59">
                  <c:v>1969</c:v>
                </c:pt>
                <c:pt idx="60">
                  <c:v>1970</c:v>
                </c:pt>
                <c:pt idx="61">
                  <c:v>1971</c:v>
                </c:pt>
                <c:pt idx="62">
                  <c:v>1972</c:v>
                </c:pt>
                <c:pt idx="63">
                  <c:v>1973</c:v>
                </c:pt>
                <c:pt idx="64">
                  <c:v>1974</c:v>
                </c:pt>
                <c:pt idx="65">
                  <c:v>1975</c:v>
                </c:pt>
                <c:pt idx="66">
                  <c:v>1976</c:v>
                </c:pt>
                <c:pt idx="67">
                  <c:v>1977</c:v>
                </c:pt>
                <c:pt idx="68">
                  <c:v>1978</c:v>
                </c:pt>
                <c:pt idx="69">
                  <c:v>1979</c:v>
                </c:pt>
                <c:pt idx="70">
                  <c:v>1980</c:v>
                </c:pt>
                <c:pt idx="71">
                  <c:v>1981</c:v>
                </c:pt>
                <c:pt idx="72">
                  <c:v>1982</c:v>
                </c:pt>
                <c:pt idx="73">
                  <c:v>1983</c:v>
                </c:pt>
                <c:pt idx="74">
                  <c:v>1984</c:v>
                </c:pt>
                <c:pt idx="75">
                  <c:v>1985</c:v>
                </c:pt>
                <c:pt idx="76">
                  <c:v>1986</c:v>
                </c:pt>
                <c:pt idx="77">
                  <c:v>1987</c:v>
                </c:pt>
                <c:pt idx="78">
                  <c:v>1988</c:v>
                </c:pt>
                <c:pt idx="79">
                  <c:v>1989</c:v>
                </c:pt>
                <c:pt idx="80">
                  <c:v>1990</c:v>
                </c:pt>
                <c:pt idx="81">
                  <c:v>1991</c:v>
                </c:pt>
                <c:pt idx="82">
                  <c:v>1992</c:v>
                </c:pt>
                <c:pt idx="83">
                  <c:v>1993</c:v>
                </c:pt>
                <c:pt idx="84">
                  <c:v>1994</c:v>
                </c:pt>
                <c:pt idx="85">
                  <c:v>1995</c:v>
                </c:pt>
                <c:pt idx="86">
                  <c:v>1996</c:v>
                </c:pt>
                <c:pt idx="87">
                  <c:v>1997</c:v>
                </c:pt>
                <c:pt idx="88">
                  <c:v>1998</c:v>
                </c:pt>
                <c:pt idx="89">
                  <c:v>1999</c:v>
                </c:pt>
                <c:pt idx="90">
                  <c:v>2000</c:v>
                </c:pt>
                <c:pt idx="91">
                  <c:v>2001</c:v>
                </c:pt>
                <c:pt idx="92">
                  <c:v>2002</c:v>
                </c:pt>
                <c:pt idx="93">
                  <c:v>2003</c:v>
                </c:pt>
                <c:pt idx="94">
                  <c:v>2004</c:v>
                </c:pt>
                <c:pt idx="95">
                  <c:v>2005</c:v>
                </c:pt>
                <c:pt idx="96">
                  <c:v>2006</c:v>
                </c:pt>
                <c:pt idx="97">
                  <c:v>2007</c:v>
                </c:pt>
                <c:pt idx="98">
                  <c:v>2008</c:v>
                </c:pt>
                <c:pt idx="99">
                  <c:v>2009</c:v>
                </c:pt>
                <c:pt idx="100">
                  <c:v>2010</c:v>
                </c:pt>
                <c:pt idx="101">
                  <c:v>2011</c:v>
                </c:pt>
                <c:pt idx="102">
                  <c:v>2012</c:v>
                </c:pt>
                <c:pt idx="103">
                  <c:v>2013</c:v>
                </c:pt>
                <c:pt idx="104">
                  <c:v>2014</c:v>
                </c:pt>
                <c:pt idx="105">
                  <c:v>2015</c:v>
                </c:pt>
                <c:pt idx="106">
                  <c:v>2016</c:v>
                </c:pt>
                <c:pt idx="107">
                  <c:v>2017</c:v>
                </c:pt>
              </c:numCache>
            </c:numRef>
          </c:cat>
          <c:val>
            <c:numRef>
              <c:f>'Data - Perc in Intense Storms'!$D$3:$D$110</c:f>
              <c:numCache>
                <c:formatCode>General</c:formatCode>
                <c:ptCount val="108"/>
                <c:pt idx="0">
                  <c:v>16.99471355691724</c:v>
                </c:pt>
                <c:pt idx="1">
                  <c:v>16.315809906512175</c:v>
                </c:pt>
                <c:pt idx="2">
                  <c:v>15.641738097366495</c:v>
                </c:pt>
                <c:pt idx="3">
                  <c:v>14.975528830646601</c:v>
                </c:pt>
                <c:pt idx="4">
                  <c:v>14.320299381934211</c:v>
                </c:pt>
                <c:pt idx="5">
                  <c:v>13.677473858667778</c:v>
                </c:pt>
                <c:pt idx="6">
                  <c:v>13.047229970288633</c:v>
                </c:pt>
                <c:pt idx="7">
                  <c:v>12.427940791074112</c:v>
                </c:pt>
                <c:pt idx="8">
                  <c:v>11.81656598125271</c:v>
                </c:pt>
                <c:pt idx="9">
                  <c:v>11.21021404844722</c:v>
                </c:pt>
                <c:pt idx="10">
                  <c:v>10.604501390554006</c:v>
                </c:pt>
                <c:pt idx="11">
                  <c:v>9.9941051757465313</c:v>
                </c:pt>
                <c:pt idx="12">
                  <c:v>9.3696759633239424</c:v>
                </c:pt>
                <c:pt idx="13">
                  <c:v>8.7167387487558727</c:v>
                </c:pt>
                <c:pt idx="14">
                  <c:v>8.0236964379736353</c:v>
                </c:pt>
                <c:pt idx="15">
                  <c:v>7.3463647865993504</c:v>
                </c:pt>
                <c:pt idx="16">
                  <c:v>7.065221105541597</c:v>
                </c:pt>
                <c:pt idx="17">
                  <c:v>6.9227264322620279</c:v>
                </c:pt>
                <c:pt idx="18">
                  <c:v>6.8709050247870289</c:v>
                </c:pt>
                <c:pt idx="19">
                  <c:v>6.876294612738759</c:v>
                </c:pt>
                <c:pt idx="20">
                  <c:v>6.9140091478209484</c:v>
                </c:pt>
                <c:pt idx="21">
                  <c:v>6.9538112551951361</c:v>
                </c:pt>
                <c:pt idx="22">
                  <c:v>6.9840974534082063</c:v>
                </c:pt>
                <c:pt idx="23">
                  <c:v>7.0065958175319603</c:v>
                </c:pt>
                <c:pt idx="24">
                  <c:v>7.048850410520755</c:v>
                </c:pt>
                <c:pt idx="25">
                  <c:v>7.1214127250252881</c:v>
                </c:pt>
                <c:pt idx="26">
                  <c:v>7.2293640881284551</c:v>
                </c:pt>
                <c:pt idx="27">
                  <c:v>7.36287265876223</c:v>
                </c:pt>
                <c:pt idx="28">
                  <c:v>7.4967098294682595</c:v>
                </c:pt>
                <c:pt idx="29">
                  <c:v>7.5780472634822615</c:v>
                </c:pt>
                <c:pt idx="30">
                  <c:v>7.6200993537904038</c:v>
                </c:pt>
                <c:pt idx="31">
                  <c:v>7.6486208611760969</c:v>
                </c:pt>
                <c:pt idx="32">
                  <c:v>7.6708036615636344</c:v>
                </c:pt>
                <c:pt idx="33">
                  <c:v>7.6912539639289008</c:v>
                </c:pt>
                <c:pt idx="34">
                  <c:v>7.6983056943923751</c:v>
                </c:pt>
                <c:pt idx="35">
                  <c:v>7.6886774940307028</c:v>
                </c:pt>
                <c:pt idx="36">
                  <c:v>7.6565636735859277</c:v>
                </c:pt>
                <c:pt idx="37">
                  <c:v>7.5962318924352363</c:v>
                </c:pt>
                <c:pt idx="38">
                  <c:v>7.5352210266071804</c:v>
                </c:pt>
                <c:pt idx="39">
                  <c:v>7.489649076085878</c:v>
                </c:pt>
                <c:pt idx="40">
                  <c:v>7.4537408687204829</c:v>
                </c:pt>
                <c:pt idx="41">
                  <c:v>7.406278896327934</c:v>
                </c:pt>
                <c:pt idx="42">
                  <c:v>7.3149590581872772</c:v>
                </c:pt>
                <c:pt idx="43">
                  <c:v>7.1734595128597061</c:v>
                </c:pt>
                <c:pt idx="44">
                  <c:v>6.9907505363831168</c:v>
                </c:pt>
                <c:pt idx="45">
                  <c:v>6.7698758813276942</c:v>
                </c:pt>
                <c:pt idx="46">
                  <c:v>6.5127684538702653</c:v>
                </c:pt>
                <c:pt idx="47">
                  <c:v>6.2228226938413957</c:v>
                </c:pt>
                <c:pt idx="48">
                  <c:v>5.9237556085099428</c:v>
                </c:pt>
                <c:pt idx="49">
                  <c:v>5.6451108629338718</c:v>
                </c:pt>
                <c:pt idx="50">
                  <c:v>5.3901927402201615</c:v>
                </c:pt>
                <c:pt idx="51">
                  <c:v>5.1510878004762404</c:v>
                </c:pt>
                <c:pt idx="52">
                  <c:v>4.9189033331158694</c:v>
                </c:pt>
                <c:pt idx="53">
                  <c:v>4.7179837450786479</c:v>
                </c:pt>
                <c:pt idx="54">
                  <c:v>4.5808750366450779</c:v>
                </c:pt>
                <c:pt idx="55">
                  <c:v>4.542276603752013</c:v>
                </c:pt>
                <c:pt idx="56">
                  <c:v>4.6062600552559516</c:v>
                </c:pt>
                <c:pt idx="57">
                  <c:v>4.7582405871604188</c:v>
                </c:pt>
                <c:pt idx="58">
                  <c:v>4.9715136959725736</c:v>
                </c:pt>
                <c:pt idx="59">
                  <c:v>5.2237156038669426</c:v>
                </c:pt>
                <c:pt idx="60">
                  <c:v>5.5013616570406922</c:v>
                </c:pt>
                <c:pt idx="61">
                  <c:v>5.8197510156418319</c:v>
                </c:pt>
                <c:pt idx="62">
                  <c:v>6.179985733058075</c:v>
                </c:pt>
                <c:pt idx="63">
                  <c:v>6.5790112637558122</c:v>
                </c:pt>
                <c:pt idx="64">
                  <c:v>6.9991652285852437</c:v>
                </c:pt>
                <c:pt idx="65">
                  <c:v>7.4021496933554731</c:v>
                </c:pt>
                <c:pt idx="66">
                  <c:v>7.7719060761592651</c:v>
                </c:pt>
                <c:pt idx="67">
                  <c:v>8.1110108866732329</c:v>
                </c:pt>
                <c:pt idx="68">
                  <c:v>8.435576794429787</c:v>
                </c:pt>
                <c:pt idx="69">
                  <c:v>8.7423140488481845</c:v>
                </c:pt>
                <c:pt idx="70">
                  <c:v>9.0218934812789211</c:v>
                </c:pt>
                <c:pt idx="71">
                  <c:v>9.2520759985536731</c:v>
                </c:pt>
                <c:pt idx="72">
                  <c:v>9.4334880518128212</c:v>
                </c:pt>
                <c:pt idx="73">
                  <c:v>9.5853087312084657</c:v>
                </c:pt>
                <c:pt idx="74">
                  <c:v>9.7392644893094698</c:v>
                </c:pt>
                <c:pt idx="75">
                  <c:v>9.8986964371828368</c:v>
                </c:pt>
                <c:pt idx="76">
                  <c:v>10.078338398952301</c:v>
                </c:pt>
                <c:pt idx="77">
                  <c:v>10.313105699085497</c:v>
                </c:pt>
                <c:pt idx="78">
                  <c:v>10.611455975596966</c:v>
                </c:pt>
                <c:pt idx="79">
                  <c:v>10.962813005111919</c:v>
                </c:pt>
                <c:pt idx="80">
                  <c:v>11.341566920251024</c:v>
                </c:pt>
                <c:pt idx="81">
                  <c:v>11.766119164318992</c:v>
                </c:pt>
                <c:pt idx="82">
                  <c:v>12.247939703814236</c:v>
                </c:pt>
                <c:pt idx="83">
                  <c:v>12.83776890826717</c:v>
                </c:pt>
                <c:pt idx="84">
                  <c:v>13.560665550067531</c:v>
                </c:pt>
                <c:pt idx="85">
                  <c:v>14.390860527973931</c:v>
                </c:pt>
                <c:pt idx="86">
                  <c:v>15.260742621456011</c:v>
                </c:pt>
                <c:pt idx="87">
                  <c:v>16.081381520135835</c:v>
                </c:pt>
                <c:pt idx="88">
                  <c:v>16.81165234889561</c:v>
                </c:pt>
                <c:pt idx="89">
                  <c:v>17.504720783760433</c:v>
                </c:pt>
                <c:pt idx="90">
                  <c:v>18.170634540053527</c:v>
                </c:pt>
                <c:pt idx="91">
                  <c:v>18.810508671407074</c:v>
                </c:pt>
                <c:pt idx="92">
                  <c:v>19.405812549594671</c:v>
                </c:pt>
                <c:pt idx="93">
                  <c:v>19.700003180736019</c:v>
                </c:pt>
                <c:pt idx="94">
                  <c:v>19.78788145127621</c:v>
                </c:pt>
                <c:pt idx="95">
                  <c:v>19.789104550824486</c:v>
                </c:pt>
                <c:pt idx="96">
                  <c:v>19.76605519615018</c:v>
                </c:pt>
                <c:pt idx="97">
                  <c:v>19.727191865100924</c:v>
                </c:pt>
                <c:pt idx="98">
                  <c:v>19.668464352226259</c:v>
                </c:pt>
                <c:pt idx="99">
                  <c:v>19.588411199601524</c:v>
                </c:pt>
                <c:pt idx="100">
                  <c:v>19.488058957013752</c:v>
                </c:pt>
                <c:pt idx="101">
                  <c:v>19.369804868348279</c:v>
                </c:pt>
                <c:pt idx="102">
                  <c:v>19.233981549437292</c:v>
                </c:pt>
                <c:pt idx="103">
                  <c:v>19.076505704868282</c:v>
                </c:pt>
                <c:pt idx="104">
                  <c:v>18.894293777828974</c:v>
                </c:pt>
                <c:pt idx="105">
                  <c:v>18.684241657136671</c:v>
                </c:pt>
                <c:pt idx="106">
                  <c:v>18.444774337592776</c:v>
                </c:pt>
                <c:pt idx="107">
                  <c:v>18.174147505937025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'Data - Perc in Intense Storms'!$E$2</c:f>
              <c:strCache>
                <c:ptCount val="1"/>
                <c:pt idx="0">
                  <c:v>1910-2017 Average Percentage = 10.6%</c:v>
                </c:pt>
              </c:strCache>
            </c:strRef>
          </c:tx>
          <c:spPr>
            <a:ln w="9525">
              <a:solidFill>
                <a:schemeClr val="tx1"/>
              </a:solidFill>
              <a:prstDash val="lgDash"/>
            </a:ln>
          </c:spPr>
          <c:marker>
            <c:symbol val="none"/>
          </c:marker>
          <c:cat>
            <c:numRef>
              <c:f>'Data - Perc in Intense Storms'!$C$3:$C$110</c:f>
              <c:numCache>
                <c:formatCode>General</c:formatCode>
                <c:ptCount val="108"/>
                <c:pt idx="0">
                  <c:v>1910</c:v>
                </c:pt>
                <c:pt idx="1">
                  <c:v>1911</c:v>
                </c:pt>
                <c:pt idx="2">
                  <c:v>1912</c:v>
                </c:pt>
                <c:pt idx="3">
                  <c:v>1913</c:v>
                </c:pt>
                <c:pt idx="4">
                  <c:v>1914</c:v>
                </c:pt>
                <c:pt idx="5">
                  <c:v>1915</c:v>
                </c:pt>
                <c:pt idx="6">
                  <c:v>1916</c:v>
                </c:pt>
                <c:pt idx="7">
                  <c:v>1917</c:v>
                </c:pt>
                <c:pt idx="8">
                  <c:v>1918</c:v>
                </c:pt>
                <c:pt idx="9">
                  <c:v>1919</c:v>
                </c:pt>
                <c:pt idx="10">
                  <c:v>1920</c:v>
                </c:pt>
                <c:pt idx="11">
                  <c:v>1921</c:v>
                </c:pt>
                <c:pt idx="12">
                  <c:v>1922</c:v>
                </c:pt>
                <c:pt idx="13">
                  <c:v>1923</c:v>
                </c:pt>
                <c:pt idx="14">
                  <c:v>1924</c:v>
                </c:pt>
                <c:pt idx="15">
                  <c:v>1925</c:v>
                </c:pt>
                <c:pt idx="16">
                  <c:v>1926</c:v>
                </c:pt>
                <c:pt idx="17">
                  <c:v>1927</c:v>
                </c:pt>
                <c:pt idx="18">
                  <c:v>1928</c:v>
                </c:pt>
                <c:pt idx="19">
                  <c:v>1929</c:v>
                </c:pt>
                <c:pt idx="20">
                  <c:v>1930</c:v>
                </c:pt>
                <c:pt idx="21">
                  <c:v>1931</c:v>
                </c:pt>
                <c:pt idx="22">
                  <c:v>1932</c:v>
                </c:pt>
                <c:pt idx="23">
                  <c:v>1933</c:v>
                </c:pt>
                <c:pt idx="24">
                  <c:v>1934</c:v>
                </c:pt>
                <c:pt idx="25">
                  <c:v>1935</c:v>
                </c:pt>
                <c:pt idx="26">
                  <c:v>1936</c:v>
                </c:pt>
                <c:pt idx="27">
                  <c:v>1937</c:v>
                </c:pt>
                <c:pt idx="28">
                  <c:v>1938</c:v>
                </c:pt>
                <c:pt idx="29">
                  <c:v>1939</c:v>
                </c:pt>
                <c:pt idx="30">
                  <c:v>1940</c:v>
                </c:pt>
                <c:pt idx="31">
                  <c:v>1941</c:v>
                </c:pt>
                <c:pt idx="32">
                  <c:v>1942</c:v>
                </c:pt>
                <c:pt idx="33">
                  <c:v>1943</c:v>
                </c:pt>
                <c:pt idx="34">
                  <c:v>1944</c:v>
                </c:pt>
                <c:pt idx="35">
                  <c:v>1945</c:v>
                </c:pt>
                <c:pt idx="36">
                  <c:v>1946</c:v>
                </c:pt>
                <c:pt idx="37">
                  <c:v>1947</c:v>
                </c:pt>
                <c:pt idx="38">
                  <c:v>1948</c:v>
                </c:pt>
                <c:pt idx="39">
                  <c:v>1949</c:v>
                </c:pt>
                <c:pt idx="40">
                  <c:v>1950</c:v>
                </c:pt>
                <c:pt idx="41">
                  <c:v>1951</c:v>
                </c:pt>
                <c:pt idx="42">
                  <c:v>1952</c:v>
                </c:pt>
                <c:pt idx="43">
                  <c:v>1953</c:v>
                </c:pt>
                <c:pt idx="44">
                  <c:v>1954</c:v>
                </c:pt>
                <c:pt idx="45">
                  <c:v>1955</c:v>
                </c:pt>
                <c:pt idx="46">
                  <c:v>1956</c:v>
                </c:pt>
                <c:pt idx="47">
                  <c:v>1957</c:v>
                </c:pt>
                <c:pt idx="48">
                  <c:v>1958</c:v>
                </c:pt>
                <c:pt idx="49">
                  <c:v>1959</c:v>
                </c:pt>
                <c:pt idx="50">
                  <c:v>1960</c:v>
                </c:pt>
                <c:pt idx="51">
                  <c:v>1961</c:v>
                </c:pt>
                <c:pt idx="52">
                  <c:v>1962</c:v>
                </c:pt>
                <c:pt idx="53">
                  <c:v>1963</c:v>
                </c:pt>
                <c:pt idx="54">
                  <c:v>1964</c:v>
                </c:pt>
                <c:pt idx="55">
                  <c:v>1965</c:v>
                </c:pt>
                <c:pt idx="56">
                  <c:v>1966</c:v>
                </c:pt>
                <c:pt idx="57">
                  <c:v>1967</c:v>
                </c:pt>
                <c:pt idx="58">
                  <c:v>1968</c:v>
                </c:pt>
                <c:pt idx="59">
                  <c:v>1969</c:v>
                </c:pt>
                <c:pt idx="60">
                  <c:v>1970</c:v>
                </c:pt>
                <c:pt idx="61">
                  <c:v>1971</c:v>
                </c:pt>
                <c:pt idx="62">
                  <c:v>1972</c:v>
                </c:pt>
                <c:pt idx="63">
                  <c:v>1973</c:v>
                </c:pt>
                <c:pt idx="64">
                  <c:v>1974</c:v>
                </c:pt>
                <c:pt idx="65">
                  <c:v>1975</c:v>
                </c:pt>
                <c:pt idx="66">
                  <c:v>1976</c:v>
                </c:pt>
                <c:pt idx="67">
                  <c:v>1977</c:v>
                </c:pt>
                <c:pt idx="68">
                  <c:v>1978</c:v>
                </c:pt>
                <c:pt idx="69">
                  <c:v>1979</c:v>
                </c:pt>
                <c:pt idx="70">
                  <c:v>1980</c:v>
                </c:pt>
                <c:pt idx="71">
                  <c:v>1981</c:v>
                </c:pt>
                <c:pt idx="72">
                  <c:v>1982</c:v>
                </c:pt>
                <c:pt idx="73">
                  <c:v>1983</c:v>
                </c:pt>
                <c:pt idx="74">
                  <c:v>1984</c:v>
                </c:pt>
                <c:pt idx="75">
                  <c:v>1985</c:v>
                </c:pt>
                <c:pt idx="76">
                  <c:v>1986</c:v>
                </c:pt>
                <c:pt idx="77">
                  <c:v>1987</c:v>
                </c:pt>
                <c:pt idx="78">
                  <c:v>1988</c:v>
                </c:pt>
                <c:pt idx="79">
                  <c:v>1989</c:v>
                </c:pt>
                <c:pt idx="80">
                  <c:v>1990</c:v>
                </c:pt>
                <c:pt idx="81">
                  <c:v>1991</c:v>
                </c:pt>
                <c:pt idx="82">
                  <c:v>1992</c:v>
                </c:pt>
                <c:pt idx="83">
                  <c:v>1993</c:v>
                </c:pt>
                <c:pt idx="84">
                  <c:v>1994</c:v>
                </c:pt>
                <c:pt idx="85">
                  <c:v>1995</c:v>
                </c:pt>
                <c:pt idx="86">
                  <c:v>1996</c:v>
                </c:pt>
                <c:pt idx="87">
                  <c:v>1997</c:v>
                </c:pt>
                <c:pt idx="88">
                  <c:v>1998</c:v>
                </c:pt>
                <c:pt idx="89">
                  <c:v>1999</c:v>
                </c:pt>
                <c:pt idx="90">
                  <c:v>2000</c:v>
                </c:pt>
                <c:pt idx="91">
                  <c:v>2001</c:v>
                </c:pt>
                <c:pt idx="92">
                  <c:v>2002</c:v>
                </c:pt>
                <c:pt idx="93">
                  <c:v>2003</c:v>
                </c:pt>
                <c:pt idx="94">
                  <c:v>2004</c:v>
                </c:pt>
                <c:pt idx="95">
                  <c:v>2005</c:v>
                </c:pt>
                <c:pt idx="96">
                  <c:v>2006</c:v>
                </c:pt>
                <c:pt idx="97">
                  <c:v>2007</c:v>
                </c:pt>
                <c:pt idx="98">
                  <c:v>2008</c:v>
                </c:pt>
                <c:pt idx="99">
                  <c:v>2009</c:v>
                </c:pt>
                <c:pt idx="100">
                  <c:v>2010</c:v>
                </c:pt>
                <c:pt idx="101">
                  <c:v>2011</c:v>
                </c:pt>
                <c:pt idx="102">
                  <c:v>2012</c:v>
                </c:pt>
                <c:pt idx="103">
                  <c:v>2013</c:v>
                </c:pt>
                <c:pt idx="104">
                  <c:v>2014</c:v>
                </c:pt>
                <c:pt idx="105">
                  <c:v>2015</c:v>
                </c:pt>
                <c:pt idx="106">
                  <c:v>2016</c:v>
                </c:pt>
                <c:pt idx="107">
                  <c:v>2017</c:v>
                </c:pt>
              </c:numCache>
            </c:numRef>
          </c:cat>
          <c:val>
            <c:numRef>
              <c:f>'Data - Perc in Intense Storms'!$E$3:$E$110</c:f>
              <c:numCache>
                <c:formatCode>General</c:formatCode>
                <c:ptCount val="108"/>
                <c:pt idx="0">
                  <c:v>10.550925925925926</c:v>
                </c:pt>
                <c:pt idx="1">
                  <c:v>10.550925925925926</c:v>
                </c:pt>
                <c:pt idx="2">
                  <c:v>10.550925925925926</c:v>
                </c:pt>
                <c:pt idx="3">
                  <c:v>10.550925925925926</c:v>
                </c:pt>
                <c:pt idx="4">
                  <c:v>10.550925925925926</c:v>
                </c:pt>
                <c:pt idx="5">
                  <c:v>10.550925925925926</c:v>
                </c:pt>
                <c:pt idx="6">
                  <c:v>10.550925925925926</c:v>
                </c:pt>
                <c:pt idx="7">
                  <c:v>10.550925925925926</c:v>
                </c:pt>
                <c:pt idx="8">
                  <c:v>10.550925925925926</c:v>
                </c:pt>
                <c:pt idx="9">
                  <c:v>10.550925925925926</c:v>
                </c:pt>
                <c:pt idx="10">
                  <c:v>10.550925925925926</c:v>
                </c:pt>
                <c:pt idx="11">
                  <c:v>10.550925925925926</c:v>
                </c:pt>
                <c:pt idx="12">
                  <c:v>10.550925925925926</c:v>
                </c:pt>
                <c:pt idx="13">
                  <c:v>10.550925925925926</c:v>
                </c:pt>
                <c:pt idx="14">
                  <c:v>10.550925925925926</c:v>
                </c:pt>
                <c:pt idx="15">
                  <c:v>10.550925925925926</c:v>
                </c:pt>
                <c:pt idx="16">
                  <c:v>10.550925925925926</c:v>
                </c:pt>
                <c:pt idx="17">
                  <c:v>10.550925925925926</c:v>
                </c:pt>
                <c:pt idx="18">
                  <c:v>10.550925925925926</c:v>
                </c:pt>
                <c:pt idx="19">
                  <c:v>10.550925925925926</c:v>
                </c:pt>
                <c:pt idx="20">
                  <c:v>10.550925925925926</c:v>
                </c:pt>
                <c:pt idx="21">
                  <c:v>10.550925925925926</c:v>
                </c:pt>
                <c:pt idx="22">
                  <c:v>10.550925925925926</c:v>
                </c:pt>
                <c:pt idx="23">
                  <c:v>10.550925925925926</c:v>
                </c:pt>
                <c:pt idx="24">
                  <c:v>10.550925925925926</c:v>
                </c:pt>
                <c:pt idx="25">
                  <c:v>10.550925925925926</c:v>
                </c:pt>
                <c:pt idx="26">
                  <c:v>10.550925925925926</c:v>
                </c:pt>
                <c:pt idx="27">
                  <c:v>10.550925925925926</c:v>
                </c:pt>
                <c:pt idx="28">
                  <c:v>10.550925925925926</c:v>
                </c:pt>
                <c:pt idx="29">
                  <c:v>10.550925925925926</c:v>
                </c:pt>
                <c:pt idx="30">
                  <c:v>10.550925925925926</c:v>
                </c:pt>
                <c:pt idx="31">
                  <c:v>10.550925925925926</c:v>
                </c:pt>
                <c:pt idx="32">
                  <c:v>10.550925925925926</c:v>
                </c:pt>
                <c:pt idx="33">
                  <c:v>10.550925925925926</c:v>
                </c:pt>
                <c:pt idx="34">
                  <c:v>10.550925925925926</c:v>
                </c:pt>
                <c:pt idx="35">
                  <c:v>10.550925925925926</c:v>
                </c:pt>
                <c:pt idx="36">
                  <c:v>10.550925925925926</c:v>
                </c:pt>
                <c:pt idx="37">
                  <c:v>10.550925925925926</c:v>
                </c:pt>
                <c:pt idx="38">
                  <c:v>10.550925925925926</c:v>
                </c:pt>
                <c:pt idx="39">
                  <c:v>10.550925925925926</c:v>
                </c:pt>
                <c:pt idx="40">
                  <c:v>10.550925925925926</c:v>
                </c:pt>
                <c:pt idx="41">
                  <c:v>10.550925925925926</c:v>
                </c:pt>
                <c:pt idx="42">
                  <c:v>10.550925925925926</c:v>
                </c:pt>
                <c:pt idx="43">
                  <c:v>10.550925925925926</c:v>
                </c:pt>
                <c:pt idx="44">
                  <c:v>10.550925925925926</c:v>
                </c:pt>
                <c:pt idx="45">
                  <c:v>10.550925925925926</c:v>
                </c:pt>
                <c:pt idx="46">
                  <c:v>10.550925925925926</c:v>
                </c:pt>
                <c:pt idx="47">
                  <c:v>10.550925925925926</c:v>
                </c:pt>
                <c:pt idx="48">
                  <c:v>10.550925925925926</c:v>
                </c:pt>
                <c:pt idx="49">
                  <c:v>10.550925925925926</c:v>
                </c:pt>
                <c:pt idx="50">
                  <c:v>10.550925925925926</c:v>
                </c:pt>
                <c:pt idx="51">
                  <c:v>10.550925925925926</c:v>
                </c:pt>
                <c:pt idx="52">
                  <c:v>10.550925925925926</c:v>
                </c:pt>
                <c:pt idx="53">
                  <c:v>10.550925925925926</c:v>
                </c:pt>
                <c:pt idx="54">
                  <c:v>10.550925925925926</c:v>
                </c:pt>
                <c:pt idx="55">
                  <c:v>10.550925925925926</c:v>
                </c:pt>
                <c:pt idx="56">
                  <c:v>10.550925925925926</c:v>
                </c:pt>
                <c:pt idx="57">
                  <c:v>10.550925925925926</c:v>
                </c:pt>
                <c:pt idx="58">
                  <c:v>10.550925925925926</c:v>
                </c:pt>
                <c:pt idx="59">
                  <c:v>10.550925925925926</c:v>
                </c:pt>
                <c:pt idx="60">
                  <c:v>10.550925925925926</c:v>
                </c:pt>
                <c:pt idx="61">
                  <c:v>10.550925925925926</c:v>
                </c:pt>
                <c:pt idx="62">
                  <c:v>10.550925925925926</c:v>
                </c:pt>
                <c:pt idx="63">
                  <c:v>10.550925925925926</c:v>
                </c:pt>
                <c:pt idx="64">
                  <c:v>10.550925925925926</c:v>
                </c:pt>
                <c:pt idx="65">
                  <c:v>10.550925925925926</c:v>
                </c:pt>
                <c:pt idx="66">
                  <c:v>10.550925925925926</c:v>
                </c:pt>
                <c:pt idx="67">
                  <c:v>10.550925925925926</c:v>
                </c:pt>
                <c:pt idx="68">
                  <c:v>10.550925925925926</c:v>
                </c:pt>
                <c:pt idx="69">
                  <c:v>10.550925925925926</c:v>
                </c:pt>
                <c:pt idx="70">
                  <c:v>10.550925925925926</c:v>
                </c:pt>
                <c:pt idx="71">
                  <c:v>10.550925925925926</c:v>
                </c:pt>
                <c:pt idx="72">
                  <c:v>10.550925925925926</c:v>
                </c:pt>
                <c:pt idx="73">
                  <c:v>10.550925925925926</c:v>
                </c:pt>
                <c:pt idx="74">
                  <c:v>10.550925925925926</c:v>
                </c:pt>
                <c:pt idx="75">
                  <c:v>10.550925925925926</c:v>
                </c:pt>
                <c:pt idx="76">
                  <c:v>10.550925925925926</c:v>
                </c:pt>
                <c:pt idx="77">
                  <c:v>10.550925925925926</c:v>
                </c:pt>
                <c:pt idx="78">
                  <c:v>10.550925925925926</c:v>
                </c:pt>
                <c:pt idx="79">
                  <c:v>10.550925925925926</c:v>
                </c:pt>
                <c:pt idx="80">
                  <c:v>10.550925925925926</c:v>
                </c:pt>
                <c:pt idx="81">
                  <c:v>10.550925925925926</c:v>
                </c:pt>
                <c:pt idx="82">
                  <c:v>10.550925925925926</c:v>
                </c:pt>
                <c:pt idx="83">
                  <c:v>10.550925925925926</c:v>
                </c:pt>
                <c:pt idx="84">
                  <c:v>10.550925925925926</c:v>
                </c:pt>
                <c:pt idx="85">
                  <c:v>10.550925925925926</c:v>
                </c:pt>
                <c:pt idx="86">
                  <c:v>10.550925925925926</c:v>
                </c:pt>
                <c:pt idx="87">
                  <c:v>10.550925925925926</c:v>
                </c:pt>
                <c:pt idx="88">
                  <c:v>10.550925925925926</c:v>
                </c:pt>
                <c:pt idx="89">
                  <c:v>10.550925925925926</c:v>
                </c:pt>
                <c:pt idx="90">
                  <c:v>10.550925925925926</c:v>
                </c:pt>
                <c:pt idx="91">
                  <c:v>10.550925925925926</c:v>
                </c:pt>
                <c:pt idx="92">
                  <c:v>10.550925925925926</c:v>
                </c:pt>
                <c:pt idx="93">
                  <c:v>10.550925925925926</c:v>
                </c:pt>
                <c:pt idx="94">
                  <c:v>10.550925925925926</c:v>
                </c:pt>
                <c:pt idx="95">
                  <c:v>10.550925925925926</c:v>
                </c:pt>
                <c:pt idx="96">
                  <c:v>10.550925925925926</c:v>
                </c:pt>
                <c:pt idx="97">
                  <c:v>10.550925925925926</c:v>
                </c:pt>
                <c:pt idx="98">
                  <c:v>10.550925925925926</c:v>
                </c:pt>
                <c:pt idx="99">
                  <c:v>10.550925925925926</c:v>
                </c:pt>
                <c:pt idx="100">
                  <c:v>10.550925925925926</c:v>
                </c:pt>
                <c:pt idx="101">
                  <c:v>10.550925925925926</c:v>
                </c:pt>
                <c:pt idx="102">
                  <c:v>10.550925925925926</c:v>
                </c:pt>
                <c:pt idx="103">
                  <c:v>10.550925925925926</c:v>
                </c:pt>
                <c:pt idx="104">
                  <c:v>10.550925925925926</c:v>
                </c:pt>
                <c:pt idx="105">
                  <c:v>10.550925925925926</c:v>
                </c:pt>
                <c:pt idx="106">
                  <c:v>10.550925925925926</c:v>
                </c:pt>
                <c:pt idx="107">
                  <c:v>10.550925925925926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84480"/>
        <c:axId val="97690368"/>
      </c:lineChart>
      <c:catAx>
        <c:axId val="9768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7690368"/>
        <c:crosses val="autoZero"/>
        <c:auto val="1"/>
        <c:lblAlgn val="ctr"/>
        <c:lblOffset val="100"/>
        <c:tickLblSkip val="5"/>
        <c:noMultiLvlLbl val="0"/>
      </c:catAx>
      <c:valAx>
        <c:axId val="976903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7684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4062073802413977"/>
          <c:y val="0.19596390207540695"/>
          <c:w val="0.52969299514786505"/>
          <c:h val="0.23235504652827488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27120037388575"/>
          <c:y val="0.25475256502028154"/>
          <c:w val="0.87199099128319391"/>
          <c:h val="0.66620376998329744"/>
        </c:manualLayout>
      </c:layout>
      <c:lineChart>
        <c:grouping val="standard"/>
        <c:varyColors val="0"/>
        <c:ser>
          <c:idx val="3"/>
          <c:order val="0"/>
          <c:tx>
            <c:strRef>
              <c:f>'Global Temp'!$D$6</c:f>
              <c:strCache>
                <c:ptCount val="1"/>
                <c:pt idx="0">
                  <c:v>Annual Average Temperature °F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cat>
            <c:numRef>
              <c:f>'Data - Perc in Intense Storms'!$C$3:$C$110</c:f>
              <c:numCache>
                <c:formatCode>General</c:formatCode>
                <c:ptCount val="108"/>
                <c:pt idx="0">
                  <c:v>1910</c:v>
                </c:pt>
                <c:pt idx="1">
                  <c:v>1911</c:v>
                </c:pt>
                <c:pt idx="2">
                  <c:v>1912</c:v>
                </c:pt>
                <c:pt idx="3">
                  <c:v>1913</c:v>
                </c:pt>
                <c:pt idx="4">
                  <c:v>1914</c:v>
                </c:pt>
                <c:pt idx="5">
                  <c:v>1915</c:v>
                </c:pt>
                <c:pt idx="6">
                  <c:v>1916</c:v>
                </c:pt>
                <c:pt idx="7">
                  <c:v>1917</c:v>
                </c:pt>
                <c:pt idx="8">
                  <c:v>1918</c:v>
                </c:pt>
                <c:pt idx="9">
                  <c:v>1919</c:v>
                </c:pt>
                <c:pt idx="10">
                  <c:v>1920</c:v>
                </c:pt>
                <c:pt idx="11">
                  <c:v>1921</c:v>
                </c:pt>
                <c:pt idx="12">
                  <c:v>1922</c:v>
                </c:pt>
                <c:pt idx="13">
                  <c:v>1923</c:v>
                </c:pt>
                <c:pt idx="14">
                  <c:v>1924</c:v>
                </c:pt>
                <c:pt idx="15">
                  <c:v>1925</c:v>
                </c:pt>
                <c:pt idx="16">
                  <c:v>1926</c:v>
                </c:pt>
                <c:pt idx="17">
                  <c:v>1927</c:v>
                </c:pt>
                <c:pt idx="18">
                  <c:v>1928</c:v>
                </c:pt>
                <c:pt idx="19">
                  <c:v>1929</c:v>
                </c:pt>
                <c:pt idx="20">
                  <c:v>1930</c:v>
                </c:pt>
                <c:pt idx="21">
                  <c:v>1931</c:v>
                </c:pt>
                <c:pt idx="22">
                  <c:v>1932</c:v>
                </c:pt>
                <c:pt idx="23">
                  <c:v>1933</c:v>
                </c:pt>
                <c:pt idx="24">
                  <c:v>1934</c:v>
                </c:pt>
                <c:pt idx="25">
                  <c:v>1935</c:v>
                </c:pt>
                <c:pt idx="26">
                  <c:v>1936</c:v>
                </c:pt>
                <c:pt idx="27">
                  <c:v>1937</c:v>
                </c:pt>
                <c:pt idx="28">
                  <c:v>1938</c:v>
                </c:pt>
                <c:pt idx="29">
                  <c:v>1939</c:v>
                </c:pt>
                <c:pt idx="30">
                  <c:v>1940</c:v>
                </c:pt>
                <c:pt idx="31">
                  <c:v>1941</c:v>
                </c:pt>
                <c:pt idx="32">
                  <c:v>1942</c:v>
                </c:pt>
                <c:pt idx="33">
                  <c:v>1943</c:v>
                </c:pt>
                <c:pt idx="34">
                  <c:v>1944</c:v>
                </c:pt>
                <c:pt idx="35">
                  <c:v>1945</c:v>
                </c:pt>
                <c:pt idx="36">
                  <c:v>1946</c:v>
                </c:pt>
                <c:pt idx="37">
                  <c:v>1947</c:v>
                </c:pt>
                <c:pt idx="38">
                  <c:v>1948</c:v>
                </c:pt>
                <c:pt idx="39">
                  <c:v>1949</c:v>
                </c:pt>
                <c:pt idx="40">
                  <c:v>1950</c:v>
                </c:pt>
                <c:pt idx="41">
                  <c:v>1951</c:v>
                </c:pt>
                <c:pt idx="42">
                  <c:v>1952</c:v>
                </c:pt>
                <c:pt idx="43">
                  <c:v>1953</c:v>
                </c:pt>
                <c:pt idx="44">
                  <c:v>1954</c:v>
                </c:pt>
                <c:pt idx="45">
                  <c:v>1955</c:v>
                </c:pt>
                <c:pt idx="46">
                  <c:v>1956</c:v>
                </c:pt>
                <c:pt idx="47">
                  <c:v>1957</c:v>
                </c:pt>
                <c:pt idx="48">
                  <c:v>1958</c:v>
                </c:pt>
                <c:pt idx="49">
                  <c:v>1959</c:v>
                </c:pt>
                <c:pt idx="50">
                  <c:v>1960</c:v>
                </c:pt>
                <c:pt idx="51">
                  <c:v>1961</c:v>
                </c:pt>
                <c:pt idx="52">
                  <c:v>1962</c:v>
                </c:pt>
                <c:pt idx="53">
                  <c:v>1963</c:v>
                </c:pt>
                <c:pt idx="54">
                  <c:v>1964</c:v>
                </c:pt>
                <c:pt idx="55">
                  <c:v>1965</c:v>
                </c:pt>
                <c:pt idx="56">
                  <c:v>1966</c:v>
                </c:pt>
                <c:pt idx="57">
                  <c:v>1967</c:v>
                </c:pt>
                <c:pt idx="58">
                  <c:v>1968</c:v>
                </c:pt>
                <c:pt idx="59">
                  <c:v>1969</c:v>
                </c:pt>
                <c:pt idx="60">
                  <c:v>1970</c:v>
                </c:pt>
                <c:pt idx="61">
                  <c:v>1971</c:v>
                </c:pt>
                <c:pt idx="62">
                  <c:v>1972</c:v>
                </c:pt>
                <c:pt idx="63">
                  <c:v>1973</c:v>
                </c:pt>
                <c:pt idx="64">
                  <c:v>1974</c:v>
                </c:pt>
                <c:pt idx="65">
                  <c:v>1975</c:v>
                </c:pt>
                <c:pt idx="66">
                  <c:v>1976</c:v>
                </c:pt>
                <c:pt idx="67">
                  <c:v>1977</c:v>
                </c:pt>
                <c:pt idx="68">
                  <c:v>1978</c:v>
                </c:pt>
                <c:pt idx="69">
                  <c:v>1979</c:v>
                </c:pt>
                <c:pt idx="70">
                  <c:v>1980</c:v>
                </c:pt>
                <c:pt idx="71">
                  <c:v>1981</c:v>
                </c:pt>
                <c:pt idx="72">
                  <c:v>1982</c:v>
                </c:pt>
                <c:pt idx="73">
                  <c:v>1983</c:v>
                </c:pt>
                <c:pt idx="74">
                  <c:v>1984</c:v>
                </c:pt>
                <c:pt idx="75">
                  <c:v>1985</c:v>
                </c:pt>
                <c:pt idx="76">
                  <c:v>1986</c:v>
                </c:pt>
                <c:pt idx="77">
                  <c:v>1987</c:v>
                </c:pt>
                <c:pt idx="78">
                  <c:v>1988</c:v>
                </c:pt>
                <c:pt idx="79">
                  <c:v>1989</c:v>
                </c:pt>
                <c:pt idx="80">
                  <c:v>1990</c:v>
                </c:pt>
                <c:pt idx="81">
                  <c:v>1991</c:v>
                </c:pt>
                <c:pt idx="82">
                  <c:v>1992</c:v>
                </c:pt>
                <c:pt idx="83">
                  <c:v>1993</c:v>
                </c:pt>
                <c:pt idx="84">
                  <c:v>1994</c:v>
                </c:pt>
                <c:pt idx="85">
                  <c:v>1995</c:v>
                </c:pt>
                <c:pt idx="86">
                  <c:v>1996</c:v>
                </c:pt>
                <c:pt idx="87">
                  <c:v>1997</c:v>
                </c:pt>
                <c:pt idx="88">
                  <c:v>1998</c:v>
                </c:pt>
                <c:pt idx="89">
                  <c:v>1999</c:v>
                </c:pt>
                <c:pt idx="90">
                  <c:v>2000</c:v>
                </c:pt>
                <c:pt idx="91">
                  <c:v>2001</c:v>
                </c:pt>
                <c:pt idx="92">
                  <c:v>2002</c:v>
                </c:pt>
                <c:pt idx="93">
                  <c:v>2003</c:v>
                </c:pt>
                <c:pt idx="94">
                  <c:v>2004</c:v>
                </c:pt>
                <c:pt idx="95">
                  <c:v>2005</c:v>
                </c:pt>
                <c:pt idx="96">
                  <c:v>2006</c:v>
                </c:pt>
                <c:pt idx="97">
                  <c:v>2007</c:v>
                </c:pt>
                <c:pt idx="98">
                  <c:v>2008</c:v>
                </c:pt>
                <c:pt idx="99">
                  <c:v>2009</c:v>
                </c:pt>
                <c:pt idx="100">
                  <c:v>2010</c:v>
                </c:pt>
                <c:pt idx="101">
                  <c:v>2011</c:v>
                </c:pt>
                <c:pt idx="102">
                  <c:v>2012</c:v>
                </c:pt>
                <c:pt idx="103">
                  <c:v>2013</c:v>
                </c:pt>
                <c:pt idx="104">
                  <c:v>2014</c:v>
                </c:pt>
                <c:pt idx="105">
                  <c:v>2015</c:v>
                </c:pt>
                <c:pt idx="106">
                  <c:v>2016</c:v>
                </c:pt>
                <c:pt idx="107">
                  <c:v>2017</c:v>
                </c:pt>
              </c:numCache>
            </c:numRef>
          </c:cat>
          <c:val>
            <c:numRef>
              <c:f>'Global Temp'!$D$7:$D$144</c:f>
              <c:numCache>
                <c:formatCode>General</c:formatCode>
                <c:ptCount val="138"/>
                <c:pt idx="0">
                  <c:v>56.858000000000004</c:v>
                </c:pt>
                <c:pt idx="1">
                  <c:v>57.02</c:v>
                </c:pt>
                <c:pt idx="2">
                  <c:v>57.02</c:v>
                </c:pt>
                <c:pt idx="3">
                  <c:v>56.858000000000004</c:v>
                </c:pt>
                <c:pt idx="4">
                  <c:v>56.696000000000005</c:v>
                </c:pt>
                <c:pt idx="5">
                  <c:v>56.642000000000003</c:v>
                </c:pt>
                <c:pt idx="6">
                  <c:v>56.624000000000002</c:v>
                </c:pt>
                <c:pt idx="7">
                  <c:v>56.57</c:v>
                </c:pt>
                <c:pt idx="8">
                  <c:v>56.876000000000005</c:v>
                </c:pt>
                <c:pt idx="9">
                  <c:v>57.002000000000002</c:v>
                </c:pt>
                <c:pt idx="10">
                  <c:v>56.534000000000006</c:v>
                </c:pt>
                <c:pt idx="11">
                  <c:v>56.768000000000001</c:v>
                </c:pt>
                <c:pt idx="12">
                  <c:v>56.714000000000006</c:v>
                </c:pt>
                <c:pt idx="13">
                  <c:v>56.624000000000002</c:v>
                </c:pt>
                <c:pt idx="14">
                  <c:v>56.624000000000002</c:v>
                </c:pt>
                <c:pt idx="15">
                  <c:v>56.804000000000002</c:v>
                </c:pt>
                <c:pt idx="16">
                  <c:v>57.002000000000002</c:v>
                </c:pt>
                <c:pt idx="17">
                  <c:v>56.984000000000002</c:v>
                </c:pt>
                <c:pt idx="18">
                  <c:v>56.696000000000005</c:v>
                </c:pt>
                <c:pt idx="19">
                  <c:v>56.876000000000005</c:v>
                </c:pt>
                <c:pt idx="20">
                  <c:v>57.038000000000004</c:v>
                </c:pt>
                <c:pt idx="21">
                  <c:v>56.93</c:v>
                </c:pt>
                <c:pt idx="22">
                  <c:v>56.660000000000004</c:v>
                </c:pt>
                <c:pt idx="23">
                  <c:v>56.498000000000005</c:v>
                </c:pt>
                <c:pt idx="24">
                  <c:v>56.318000000000005</c:v>
                </c:pt>
                <c:pt idx="25">
                  <c:v>56.696000000000005</c:v>
                </c:pt>
                <c:pt idx="26">
                  <c:v>56.786000000000001</c:v>
                </c:pt>
                <c:pt idx="27">
                  <c:v>56.480000000000004</c:v>
                </c:pt>
                <c:pt idx="28">
                  <c:v>56.408000000000001</c:v>
                </c:pt>
                <c:pt idx="29">
                  <c:v>56.336000000000006</c:v>
                </c:pt>
                <c:pt idx="30">
                  <c:v>56.408000000000001</c:v>
                </c:pt>
                <c:pt idx="31">
                  <c:v>56.426000000000002</c:v>
                </c:pt>
                <c:pt idx="32">
                  <c:v>56.552</c:v>
                </c:pt>
                <c:pt idx="33">
                  <c:v>56.57</c:v>
                </c:pt>
                <c:pt idx="34">
                  <c:v>56.912000000000006</c:v>
                </c:pt>
                <c:pt idx="35">
                  <c:v>56.984000000000002</c:v>
                </c:pt>
                <c:pt idx="36">
                  <c:v>56.606000000000002</c:v>
                </c:pt>
                <c:pt idx="37">
                  <c:v>56.426000000000002</c:v>
                </c:pt>
                <c:pt idx="38">
                  <c:v>56.696000000000005</c:v>
                </c:pt>
                <c:pt idx="39">
                  <c:v>56.714000000000006</c:v>
                </c:pt>
                <c:pt idx="40">
                  <c:v>56.75</c:v>
                </c:pt>
                <c:pt idx="41">
                  <c:v>56.894000000000005</c:v>
                </c:pt>
                <c:pt idx="42">
                  <c:v>56.714000000000006</c:v>
                </c:pt>
                <c:pt idx="43">
                  <c:v>56.768000000000001</c:v>
                </c:pt>
                <c:pt idx="44">
                  <c:v>56.75</c:v>
                </c:pt>
                <c:pt idx="45">
                  <c:v>56.822000000000003</c:v>
                </c:pt>
                <c:pt idx="46">
                  <c:v>57.038000000000004</c:v>
                </c:pt>
                <c:pt idx="47">
                  <c:v>56.84</c:v>
                </c:pt>
                <c:pt idx="48">
                  <c:v>56.858000000000004</c:v>
                </c:pt>
                <c:pt idx="49">
                  <c:v>56.57</c:v>
                </c:pt>
                <c:pt idx="50">
                  <c:v>56.93</c:v>
                </c:pt>
                <c:pt idx="51">
                  <c:v>57.02</c:v>
                </c:pt>
                <c:pt idx="52">
                  <c:v>56.894000000000005</c:v>
                </c:pt>
                <c:pt idx="53">
                  <c:v>56.660000000000004</c:v>
                </c:pt>
                <c:pt idx="54">
                  <c:v>56.948</c:v>
                </c:pt>
                <c:pt idx="55">
                  <c:v>56.822000000000003</c:v>
                </c:pt>
                <c:pt idx="56">
                  <c:v>56.912000000000006</c:v>
                </c:pt>
                <c:pt idx="57">
                  <c:v>57.128</c:v>
                </c:pt>
                <c:pt idx="58">
                  <c:v>57.146000000000001</c:v>
                </c:pt>
                <c:pt idx="59">
                  <c:v>57.146000000000001</c:v>
                </c:pt>
                <c:pt idx="60">
                  <c:v>57.398000000000003</c:v>
                </c:pt>
                <c:pt idx="61">
                  <c:v>57.524000000000001</c:v>
                </c:pt>
                <c:pt idx="62">
                  <c:v>57.290000000000006</c:v>
                </c:pt>
                <c:pt idx="63">
                  <c:v>57.326000000000001</c:v>
                </c:pt>
                <c:pt idx="64">
                  <c:v>57.578000000000003</c:v>
                </c:pt>
                <c:pt idx="65">
                  <c:v>57.362000000000002</c:v>
                </c:pt>
                <c:pt idx="66">
                  <c:v>57.074000000000005</c:v>
                </c:pt>
                <c:pt idx="67">
                  <c:v>57.128</c:v>
                </c:pt>
                <c:pt idx="68">
                  <c:v>57.002000000000002</c:v>
                </c:pt>
                <c:pt idx="69">
                  <c:v>57.002000000000002</c:v>
                </c:pt>
                <c:pt idx="70">
                  <c:v>56.858000000000004</c:v>
                </c:pt>
                <c:pt idx="71">
                  <c:v>57.074000000000005</c:v>
                </c:pt>
                <c:pt idx="72">
                  <c:v>57.218000000000004</c:v>
                </c:pt>
                <c:pt idx="73">
                  <c:v>57.326000000000001</c:v>
                </c:pt>
                <c:pt idx="74">
                  <c:v>56.93</c:v>
                </c:pt>
                <c:pt idx="75">
                  <c:v>56.948</c:v>
                </c:pt>
                <c:pt idx="76">
                  <c:v>56.84</c:v>
                </c:pt>
                <c:pt idx="77">
                  <c:v>57.272000000000006</c:v>
                </c:pt>
                <c:pt idx="78">
                  <c:v>57.326000000000001</c:v>
                </c:pt>
                <c:pt idx="79">
                  <c:v>57.254000000000005</c:v>
                </c:pt>
                <c:pt idx="80">
                  <c:v>57.164000000000001</c:v>
                </c:pt>
                <c:pt idx="81">
                  <c:v>57.308</c:v>
                </c:pt>
                <c:pt idx="82">
                  <c:v>57.272000000000006</c:v>
                </c:pt>
                <c:pt idx="83">
                  <c:v>57.326000000000001</c:v>
                </c:pt>
                <c:pt idx="84">
                  <c:v>56.84</c:v>
                </c:pt>
                <c:pt idx="85">
                  <c:v>57.02</c:v>
                </c:pt>
                <c:pt idx="86">
                  <c:v>57.11</c:v>
                </c:pt>
                <c:pt idx="87">
                  <c:v>57.164000000000001</c:v>
                </c:pt>
                <c:pt idx="88">
                  <c:v>57.074000000000005</c:v>
                </c:pt>
                <c:pt idx="89">
                  <c:v>57.326000000000001</c:v>
                </c:pt>
                <c:pt idx="90">
                  <c:v>57.254000000000005</c:v>
                </c:pt>
                <c:pt idx="91">
                  <c:v>57.038000000000004</c:v>
                </c:pt>
                <c:pt idx="92">
                  <c:v>57.218000000000004</c:v>
                </c:pt>
                <c:pt idx="93">
                  <c:v>57.488</c:v>
                </c:pt>
                <c:pt idx="94">
                  <c:v>57.056000000000004</c:v>
                </c:pt>
                <c:pt idx="95">
                  <c:v>57.164000000000001</c:v>
                </c:pt>
                <c:pt idx="96">
                  <c:v>57.002000000000002</c:v>
                </c:pt>
                <c:pt idx="97">
                  <c:v>57.506</c:v>
                </c:pt>
                <c:pt idx="98">
                  <c:v>57.308</c:v>
                </c:pt>
                <c:pt idx="99">
                  <c:v>57.488</c:v>
                </c:pt>
                <c:pt idx="100">
                  <c:v>57.686</c:v>
                </c:pt>
                <c:pt idx="101">
                  <c:v>57.794000000000004</c:v>
                </c:pt>
                <c:pt idx="102">
                  <c:v>57.434000000000005</c:v>
                </c:pt>
                <c:pt idx="103">
                  <c:v>57.758000000000003</c:v>
                </c:pt>
                <c:pt idx="104">
                  <c:v>57.488</c:v>
                </c:pt>
                <c:pt idx="105">
                  <c:v>57.416000000000004</c:v>
                </c:pt>
                <c:pt idx="106">
                  <c:v>57.524000000000001</c:v>
                </c:pt>
                <c:pt idx="107">
                  <c:v>57.794000000000004</c:v>
                </c:pt>
                <c:pt idx="108">
                  <c:v>57.938000000000002</c:v>
                </c:pt>
                <c:pt idx="109">
                  <c:v>57.704000000000001</c:v>
                </c:pt>
                <c:pt idx="110">
                  <c:v>57.992000000000004</c:v>
                </c:pt>
                <c:pt idx="111">
                  <c:v>57.938000000000002</c:v>
                </c:pt>
                <c:pt idx="112">
                  <c:v>57.596000000000004</c:v>
                </c:pt>
                <c:pt idx="113">
                  <c:v>57.632000000000005</c:v>
                </c:pt>
                <c:pt idx="114">
                  <c:v>57.758000000000003</c:v>
                </c:pt>
                <c:pt idx="115">
                  <c:v>57.992000000000004</c:v>
                </c:pt>
                <c:pt idx="116">
                  <c:v>57.794000000000004</c:v>
                </c:pt>
                <c:pt idx="117">
                  <c:v>58.045999999999999</c:v>
                </c:pt>
                <c:pt idx="118">
                  <c:v>58.316000000000003</c:v>
                </c:pt>
                <c:pt idx="119">
                  <c:v>57.92</c:v>
                </c:pt>
                <c:pt idx="120">
                  <c:v>57.92</c:v>
                </c:pt>
                <c:pt idx="121">
                  <c:v>58.172000000000004</c:v>
                </c:pt>
                <c:pt idx="122">
                  <c:v>58.316000000000003</c:v>
                </c:pt>
                <c:pt idx="123">
                  <c:v>58.298000000000002</c:v>
                </c:pt>
                <c:pt idx="124">
                  <c:v>58.154000000000003</c:v>
                </c:pt>
                <c:pt idx="125">
                  <c:v>58.406000000000006</c:v>
                </c:pt>
                <c:pt idx="126">
                  <c:v>58.316000000000003</c:v>
                </c:pt>
                <c:pt idx="127">
                  <c:v>58.352000000000004</c:v>
                </c:pt>
                <c:pt idx="128">
                  <c:v>58.136000000000003</c:v>
                </c:pt>
                <c:pt idx="129">
                  <c:v>58.334000000000003</c:v>
                </c:pt>
                <c:pt idx="130">
                  <c:v>58.46</c:v>
                </c:pt>
                <c:pt idx="131">
                  <c:v>58.226000000000006</c:v>
                </c:pt>
                <c:pt idx="132">
                  <c:v>58.298000000000002</c:v>
                </c:pt>
                <c:pt idx="133">
                  <c:v>58.352000000000004</c:v>
                </c:pt>
                <c:pt idx="134">
                  <c:v>58.514000000000003</c:v>
                </c:pt>
                <c:pt idx="135">
                  <c:v>58.748000000000005</c:v>
                </c:pt>
                <c:pt idx="136">
                  <c:v>58.981999999999999</c:v>
                </c:pt>
                <c:pt idx="137">
                  <c:v>58.82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'Global Temp'!$F$6</c:f>
              <c:strCache>
                <c:ptCount val="1"/>
                <c:pt idx="0">
                  <c:v>Trend—30 Year Moving Average</c:v>
                </c:pt>
              </c:strCache>
            </c:strRef>
          </c:tx>
          <c:spPr>
            <a:ln w="571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'Global Temp'!$E$7:$E$144</c:f>
              <c:numCache>
                <c:formatCode>General</c:formatCode>
                <c:ptCount val="138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</c:numCache>
            </c:numRef>
          </c:cat>
          <c:val>
            <c:numRef>
              <c:f>'Global Temp'!$F$7:$F$144</c:f>
              <c:numCache>
                <c:formatCode>General</c:formatCode>
                <c:ptCount val="138"/>
                <c:pt idx="0">
                  <c:v>56.824451646299373</c:v>
                </c:pt>
                <c:pt idx="1">
                  <c:v>56.819046040298929</c:v>
                </c:pt>
                <c:pt idx="2">
                  <c:v>56.81409357982367</c:v>
                </c:pt>
                <c:pt idx="3">
                  <c:v>56.809558758819691</c:v>
                </c:pt>
                <c:pt idx="4">
                  <c:v>56.805351206632075</c:v>
                </c:pt>
                <c:pt idx="5">
                  <c:v>56.801352143358585</c:v>
                </c:pt>
                <c:pt idx="6">
                  <c:v>56.797444093759303</c:v>
                </c:pt>
                <c:pt idx="7">
                  <c:v>56.793526169477907</c:v>
                </c:pt>
                <c:pt idx="8">
                  <c:v>56.789525720814467</c:v>
                </c:pt>
                <c:pt idx="9">
                  <c:v>56.785408462646757</c:v>
                </c:pt>
                <c:pt idx="10">
                  <c:v>56.781142594165125</c:v>
                </c:pt>
                <c:pt idx="11">
                  <c:v>56.776686089866622</c:v>
                </c:pt>
                <c:pt idx="12">
                  <c:v>56.772094870948749</c:v>
                </c:pt>
                <c:pt idx="13">
                  <c:v>56.767703894067758</c:v>
                </c:pt>
                <c:pt idx="14">
                  <c:v>56.764746781648867</c:v>
                </c:pt>
                <c:pt idx="15">
                  <c:v>56.76555142041169</c:v>
                </c:pt>
                <c:pt idx="16">
                  <c:v>56.760760396202826</c:v>
                </c:pt>
                <c:pt idx="17">
                  <c:v>56.753258596927445</c:v>
                </c:pt>
                <c:pt idx="18">
                  <c:v>56.742614338576118</c:v>
                </c:pt>
                <c:pt idx="19">
                  <c:v>56.729086838379175</c:v>
                </c:pt>
                <c:pt idx="20">
                  <c:v>56.713595908704342</c:v>
                </c:pt>
                <c:pt idx="21">
                  <c:v>56.697365490990052</c:v>
                </c:pt>
                <c:pt idx="22">
                  <c:v>56.681757627238362</c:v>
                </c:pt>
                <c:pt idx="23">
                  <c:v>56.667375218371902</c:v>
                </c:pt>
                <c:pt idx="24">
                  <c:v>56.653850955338172</c:v>
                </c:pt>
                <c:pt idx="25">
                  <c:v>56.640835781975802</c:v>
                </c:pt>
                <c:pt idx="26">
                  <c:v>56.628333022273239</c:v>
                </c:pt>
                <c:pt idx="27">
                  <c:v>56.616831727389155</c:v>
                </c:pt>
                <c:pt idx="28">
                  <c:v>56.607305383981071</c:v>
                </c:pt>
                <c:pt idx="29">
                  <c:v>56.600918365802947</c:v>
                </c:pt>
                <c:pt idx="30">
                  <c:v>56.598218590449164</c:v>
                </c:pt>
                <c:pt idx="31">
                  <c:v>56.599277215449113</c:v>
                </c:pt>
                <c:pt idx="32">
                  <c:v>56.604160657864831</c:v>
                </c:pt>
                <c:pt idx="33">
                  <c:v>56.61321796072739</c:v>
                </c:pt>
                <c:pt idx="34">
                  <c:v>56.626438103524897</c:v>
                </c:pt>
                <c:pt idx="35">
                  <c:v>56.642972798328728</c:v>
                </c:pt>
                <c:pt idx="36">
                  <c:v>56.661568686647406</c:v>
                </c:pt>
                <c:pt idx="37">
                  <c:v>56.68089589023441</c:v>
                </c:pt>
                <c:pt idx="38">
                  <c:v>56.700449987679775</c:v>
                </c:pt>
                <c:pt idx="39">
                  <c:v>56.72015903781093</c:v>
                </c:pt>
                <c:pt idx="40">
                  <c:v>56.739069813369056</c:v>
                </c:pt>
                <c:pt idx="41">
                  <c:v>56.755798476039097</c:v>
                </c:pt>
                <c:pt idx="42">
                  <c:v>56.769915329023206</c:v>
                </c:pt>
                <c:pt idx="43">
                  <c:v>56.781597876877882</c:v>
                </c:pt>
                <c:pt idx="44">
                  <c:v>56.791686453017192</c:v>
                </c:pt>
                <c:pt idx="45">
                  <c:v>56.801596392868731</c:v>
                </c:pt>
                <c:pt idx="46">
                  <c:v>56.812830188179376</c:v>
                </c:pt>
                <c:pt idx="47">
                  <c:v>56.826489698514905</c:v>
                </c:pt>
                <c:pt idx="48">
                  <c:v>56.843256528141396</c:v>
                </c:pt>
                <c:pt idx="49">
                  <c:v>56.863044726565498</c:v>
                </c:pt>
                <c:pt idx="50">
                  <c:v>56.885247530878594</c:v>
                </c:pt>
                <c:pt idx="51">
                  <c:v>56.909907119612832</c:v>
                </c:pt>
                <c:pt idx="52">
                  <c:v>56.937477086830285</c:v>
                </c:pt>
                <c:pt idx="53">
                  <c:v>56.967474543334923</c:v>
                </c:pt>
                <c:pt idx="54">
                  <c:v>56.998539588499796</c:v>
                </c:pt>
                <c:pt idx="55">
                  <c:v>57.029151874324761</c:v>
                </c:pt>
                <c:pt idx="56">
                  <c:v>57.057804883475043</c:v>
                </c:pt>
                <c:pt idx="57">
                  <c:v>57.083583630499895</c:v>
                </c:pt>
                <c:pt idx="58">
                  <c:v>57.105948485270261</c:v>
                </c:pt>
                <c:pt idx="59">
                  <c:v>57.124969907261779</c:v>
                </c:pt>
                <c:pt idx="60">
                  <c:v>57.141155544993701</c:v>
                </c:pt>
                <c:pt idx="61">
                  <c:v>57.154997736453083</c:v>
                </c:pt>
                <c:pt idx="62">
                  <c:v>57.166507143282551</c:v>
                </c:pt>
                <c:pt idx="63">
                  <c:v>57.175291158258588</c:v>
                </c:pt>
                <c:pt idx="64">
                  <c:v>57.180945375734787</c:v>
                </c:pt>
                <c:pt idx="65">
                  <c:v>57.183169329937193</c:v>
                </c:pt>
                <c:pt idx="66">
                  <c:v>57.181845174974335</c:v>
                </c:pt>
                <c:pt idx="67">
                  <c:v>57.1772652470708</c:v>
                </c:pt>
                <c:pt idx="68">
                  <c:v>57.170137945482907</c:v>
                </c:pt>
                <c:pt idx="69">
                  <c:v>57.161329470455364</c:v>
                </c:pt>
                <c:pt idx="70">
                  <c:v>57.15210623521638</c:v>
                </c:pt>
                <c:pt idx="71">
                  <c:v>57.143659167225017</c:v>
                </c:pt>
                <c:pt idx="72">
                  <c:v>57.13635927270532</c:v>
                </c:pt>
                <c:pt idx="73">
                  <c:v>57.130555864048752</c:v>
                </c:pt>
                <c:pt idx="74">
                  <c:v>57.126661728398084</c:v>
                </c:pt>
                <c:pt idx="75">
                  <c:v>57.124681642486031</c:v>
                </c:pt>
                <c:pt idx="76">
                  <c:v>57.124497873600205</c:v>
                </c:pt>
                <c:pt idx="77">
                  <c:v>57.126502417318193</c:v>
                </c:pt>
                <c:pt idx="78">
                  <c:v>57.130687244159525</c:v>
                </c:pt>
                <c:pt idx="79">
                  <c:v>57.136034636986217</c:v>
                </c:pt>
                <c:pt idx="80">
                  <c:v>57.14185585887401</c:v>
                </c:pt>
                <c:pt idx="81">
                  <c:v>57.148190117583837</c:v>
                </c:pt>
                <c:pt idx="82">
                  <c:v>57.154668276313963</c:v>
                </c:pt>
                <c:pt idx="83">
                  <c:v>57.160816012226974</c:v>
                </c:pt>
                <c:pt idx="84">
                  <c:v>57.166212187698612</c:v>
                </c:pt>
                <c:pt idx="85">
                  <c:v>57.171124694398799</c:v>
                </c:pt>
                <c:pt idx="86">
                  <c:v>57.175699103756692</c:v>
                </c:pt>
                <c:pt idx="87">
                  <c:v>57.180171939343538</c:v>
                </c:pt>
                <c:pt idx="88">
                  <c:v>57.185459239943505</c:v>
                </c:pt>
                <c:pt idx="89">
                  <c:v>57.19331962179556</c:v>
                </c:pt>
                <c:pt idx="90">
                  <c:v>57.205175267513937</c:v>
                </c:pt>
                <c:pt idx="91">
                  <c:v>57.22196256277612</c:v>
                </c:pt>
                <c:pt idx="92">
                  <c:v>57.243128791596234</c:v>
                </c:pt>
                <c:pt idx="93">
                  <c:v>57.267384680979781</c:v>
                </c:pt>
                <c:pt idx="94">
                  <c:v>57.293600712629519</c:v>
                </c:pt>
                <c:pt idx="95">
                  <c:v>57.321134351130887</c:v>
                </c:pt>
                <c:pt idx="96">
                  <c:v>57.349567692752814</c:v>
                </c:pt>
                <c:pt idx="97">
                  <c:v>57.378489813235774</c:v>
                </c:pt>
                <c:pt idx="98">
                  <c:v>57.408209208512901</c:v>
                </c:pt>
                <c:pt idx="99">
                  <c:v>57.439506597207021</c:v>
                </c:pt>
                <c:pt idx="100">
                  <c:v>57.472286552848615</c:v>
                </c:pt>
                <c:pt idx="101">
                  <c:v>57.505827648519151</c:v>
                </c:pt>
                <c:pt idx="102">
                  <c:v>57.539413113603295</c:v>
                </c:pt>
                <c:pt idx="103">
                  <c:v>57.572557873435088</c:v>
                </c:pt>
                <c:pt idx="104">
                  <c:v>57.604520031510816</c:v>
                </c:pt>
                <c:pt idx="105">
                  <c:v>57.635103642637809</c:v>
                </c:pt>
                <c:pt idx="106">
                  <c:v>57.664808326167311</c:v>
                </c:pt>
                <c:pt idx="107">
                  <c:v>57.693419081887981</c:v>
                </c:pt>
                <c:pt idx="108">
                  <c:v>57.720461475610129</c:v>
                </c:pt>
                <c:pt idx="109">
                  <c:v>57.746575982733781</c:v>
                </c:pt>
                <c:pt idx="110">
                  <c:v>57.773015910641028</c:v>
                </c:pt>
                <c:pt idx="111">
                  <c:v>57.800995836337869</c:v>
                </c:pt>
                <c:pt idx="112">
                  <c:v>57.830735610512676</c:v>
                </c:pt>
                <c:pt idx="113">
                  <c:v>57.862367630936163</c:v>
                </c:pt>
                <c:pt idx="114">
                  <c:v>57.895556485709392</c:v>
                </c:pt>
                <c:pt idx="115">
                  <c:v>57.929382359923032</c:v>
                </c:pt>
                <c:pt idx="116">
                  <c:v>57.962648940773015</c:v>
                </c:pt>
                <c:pt idx="117">
                  <c:v>57.994878236965832</c:v>
                </c:pt>
                <c:pt idx="118">
                  <c:v>58.026021122414619</c:v>
                </c:pt>
                <c:pt idx="119">
                  <c:v>58.056389365223239</c:v>
                </c:pt>
                <c:pt idx="120">
                  <c:v>58.086429942795036</c:v>
                </c:pt>
                <c:pt idx="121">
                  <c:v>58.11647002586659</c:v>
                </c:pt>
                <c:pt idx="122">
                  <c:v>58.146700238745026</c:v>
                </c:pt>
                <c:pt idx="123">
                  <c:v>58.174656180086252</c:v>
                </c:pt>
                <c:pt idx="124">
                  <c:v>58.208081243549948</c:v>
                </c:pt>
                <c:pt idx="125">
                  <c:v>58.244593788981796</c:v>
                </c:pt>
                <c:pt idx="126">
                  <c:v>58.282242460444188</c:v>
                </c:pt>
                <c:pt idx="127">
                  <c:v>58.320200879683441</c:v>
                </c:pt>
                <c:pt idx="128">
                  <c:v>58.358105340283053</c:v>
                </c:pt>
                <c:pt idx="129">
                  <c:v>58.395790526888582</c:v>
                </c:pt>
                <c:pt idx="130">
                  <c:v>58.433215506974328</c:v>
                </c:pt>
                <c:pt idx="131">
                  <c:v>58.470395763556716</c:v>
                </c:pt>
                <c:pt idx="132">
                  <c:v>58.507375645060939</c:v>
                </c:pt>
                <c:pt idx="133">
                  <c:v>58.544247467640517</c:v>
                </c:pt>
                <c:pt idx="134">
                  <c:v>58.581142267056386</c:v>
                </c:pt>
                <c:pt idx="135">
                  <c:v>58.61821448820524</c:v>
                </c:pt>
                <c:pt idx="136">
                  <c:v>58.655612788563168</c:v>
                </c:pt>
                <c:pt idx="137">
                  <c:v>58.693437894463955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'Global Temp'!$G$6</c:f>
              <c:strCache>
                <c:ptCount val="1"/>
                <c:pt idx="0">
                  <c:v>1951-1980 Average Temperature = 57.2°F</c:v>
                </c:pt>
              </c:strCache>
            </c:strRef>
          </c:tx>
          <c:spPr>
            <a:ln w="9525">
              <a:solidFill>
                <a:schemeClr val="tx1"/>
              </a:solidFill>
              <a:prstDash val="lgDash"/>
            </a:ln>
          </c:spPr>
          <c:marker>
            <c:symbol val="none"/>
          </c:marker>
          <c:cat>
            <c:numRef>
              <c:f>'Global Temp'!$E$7:$E$144</c:f>
              <c:numCache>
                <c:formatCode>General</c:formatCode>
                <c:ptCount val="138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</c:numCache>
            </c:numRef>
          </c:cat>
          <c:val>
            <c:numRef>
              <c:f>'Global Temp'!$G$7:$G$144</c:f>
              <c:numCache>
                <c:formatCode>General</c:formatCode>
                <c:ptCount val="138"/>
                <c:pt idx="0">
                  <c:v>57.20000000000001</c:v>
                </c:pt>
                <c:pt idx="1">
                  <c:v>57.20000000000001</c:v>
                </c:pt>
                <c:pt idx="2">
                  <c:v>57.20000000000001</c:v>
                </c:pt>
                <c:pt idx="3">
                  <c:v>57.20000000000001</c:v>
                </c:pt>
                <c:pt idx="4">
                  <c:v>57.20000000000001</c:v>
                </c:pt>
                <c:pt idx="5">
                  <c:v>57.20000000000001</c:v>
                </c:pt>
                <c:pt idx="6">
                  <c:v>57.20000000000001</c:v>
                </c:pt>
                <c:pt idx="7">
                  <c:v>57.20000000000001</c:v>
                </c:pt>
                <c:pt idx="8">
                  <c:v>57.20000000000001</c:v>
                </c:pt>
                <c:pt idx="9">
                  <c:v>57.20000000000001</c:v>
                </c:pt>
                <c:pt idx="10">
                  <c:v>57.20000000000001</c:v>
                </c:pt>
                <c:pt idx="11">
                  <c:v>57.20000000000001</c:v>
                </c:pt>
                <c:pt idx="12">
                  <c:v>57.20000000000001</c:v>
                </c:pt>
                <c:pt idx="13">
                  <c:v>57.20000000000001</c:v>
                </c:pt>
                <c:pt idx="14">
                  <c:v>57.20000000000001</c:v>
                </c:pt>
                <c:pt idx="15">
                  <c:v>57.20000000000001</c:v>
                </c:pt>
                <c:pt idx="16">
                  <c:v>57.20000000000001</c:v>
                </c:pt>
                <c:pt idx="17">
                  <c:v>57.20000000000001</c:v>
                </c:pt>
                <c:pt idx="18">
                  <c:v>57.20000000000001</c:v>
                </c:pt>
                <c:pt idx="19">
                  <c:v>57.20000000000001</c:v>
                </c:pt>
                <c:pt idx="20">
                  <c:v>57.20000000000001</c:v>
                </c:pt>
                <c:pt idx="21">
                  <c:v>57.20000000000001</c:v>
                </c:pt>
                <c:pt idx="22">
                  <c:v>57.20000000000001</c:v>
                </c:pt>
                <c:pt idx="23">
                  <c:v>57.20000000000001</c:v>
                </c:pt>
                <c:pt idx="24">
                  <c:v>57.20000000000001</c:v>
                </c:pt>
                <c:pt idx="25">
                  <c:v>57.20000000000001</c:v>
                </c:pt>
                <c:pt idx="26">
                  <c:v>57.20000000000001</c:v>
                </c:pt>
                <c:pt idx="27">
                  <c:v>57.20000000000001</c:v>
                </c:pt>
                <c:pt idx="28">
                  <c:v>57.20000000000001</c:v>
                </c:pt>
                <c:pt idx="29">
                  <c:v>57.20000000000001</c:v>
                </c:pt>
                <c:pt idx="30">
                  <c:v>57.20000000000001</c:v>
                </c:pt>
                <c:pt idx="31">
                  <c:v>57.20000000000001</c:v>
                </c:pt>
                <c:pt idx="32">
                  <c:v>57.20000000000001</c:v>
                </c:pt>
                <c:pt idx="33">
                  <c:v>57.20000000000001</c:v>
                </c:pt>
                <c:pt idx="34">
                  <c:v>57.20000000000001</c:v>
                </c:pt>
                <c:pt idx="35">
                  <c:v>57.20000000000001</c:v>
                </c:pt>
                <c:pt idx="36">
                  <c:v>57.20000000000001</c:v>
                </c:pt>
                <c:pt idx="37">
                  <c:v>57.20000000000001</c:v>
                </c:pt>
                <c:pt idx="38">
                  <c:v>57.20000000000001</c:v>
                </c:pt>
                <c:pt idx="39">
                  <c:v>57.20000000000001</c:v>
                </c:pt>
                <c:pt idx="40">
                  <c:v>57.20000000000001</c:v>
                </c:pt>
                <c:pt idx="41">
                  <c:v>57.20000000000001</c:v>
                </c:pt>
                <c:pt idx="42">
                  <c:v>57.20000000000001</c:v>
                </c:pt>
                <c:pt idx="43">
                  <c:v>57.20000000000001</c:v>
                </c:pt>
                <c:pt idx="44">
                  <c:v>57.20000000000001</c:v>
                </c:pt>
                <c:pt idx="45">
                  <c:v>57.20000000000001</c:v>
                </c:pt>
                <c:pt idx="46">
                  <c:v>57.20000000000001</c:v>
                </c:pt>
                <c:pt idx="47">
                  <c:v>57.20000000000001</c:v>
                </c:pt>
                <c:pt idx="48">
                  <c:v>57.20000000000001</c:v>
                </c:pt>
                <c:pt idx="49">
                  <c:v>57.20000000000001</c:v>
                </c:pt>
                <c:pt idx="50">
                  <c:v>57.20000000000001</c:v>
                </c:pt>
                <c:pt idx="51">
                  <c:v>57.20000000000001</c:v>
                </c:pt>
                <c:pt idx="52">
                  <c:v>57.20000000000001</c:v>
                </c:pt>
                <c:pt idx="53">
                  <c:v>57.20000000000001</c:v>
                </c:pt>
                <c:pt idx="54">
                  <c:v>57.20000000000001</c:v>
                </c:pt>
                <c:pt idx="55">
                  <c:v>57.20000000000001</c:v>
                </c:pt>
                <c:pt idx="56">
                  <c:v>57.20000000000001</c:v>
                </c:pt>
                <c:pt idx="57">
                  <c:v>57.20000000000001</c:v>
                </c:pt>
                <c:pt idx="58">
                  <c:v>57.20000000000001</c:v>
                </c:pt>
                <c:pt idx="59">
                  <c:v>57.20000000000001</c:v>
                </c:pt>
                <c:pt idx="60">
                  <c:v>57.20000000000001</c:v>
                </c:pt>
                <c:pt idx="61">
                  <c:v>57.20000000000001</c:v>
                </c:pt>
                <c:pt idx="62">
                  <c:v>57.20000000000001</c:v>
                </c:pt>
                <c:pt idx="63">
                  <c:v>57.20000000000001</c:v>
                </c:pt>
                <c:pt idx="64">
                  <c:v>57.20000000000001</c:v>
                </c:pt>
                <c:pt idx="65">
                  <c:v>57.20000000000001</c:v>
                </c:pt>
                <c:pt idx="66">
                  <c:v>57.20000000000001</c:v>
                </c:pt>
                <c:pt idx="67">
                  <c:v>57.20000000000001</c:v>
                </c:pt>
                <c:pt idx="68">
                  <c:v>57.20000000000001</c:v>
                </c:pt>
                <c:pt idx="69">
                  <c:v>57.20000000000001</c:v>
                </c:pt>
                <c:pt idx="70">
                  <c:v>57.20000000000001</c:v>
                </c:pt>
                <c:pt idx="71">
                  <c:v>57.20000000000001</c:v>
                </c:pt>
                <c:pt idx="72">
                  <c:v>57.20000000000001</c:v>
                </c:pt>
                <c:pt idx="73">
                  <c:v>57.20000000000001</c:v>
                </c:pt>
                <c:pt idx="74">
                  <c:v>57.20000000000001</c:v>
                </c:pt>
                <c:pt idx="75">
                  <c:v>57.20000000000001</c:v>
                </c:pt>
                <c:pt idx="76">
                  <c:v>57.20000000000001</c:v>
                </c:pt>
                <c:pt idx="77">
                  <c:v>57.20000000000001</c:v>
                </c:pt>
                <c:pt idx="78">
                  <c:v>57.20000000000001</c:v>
                </c:pt>
                <c:pt idx="79">
                  <c:v>57.20000000000001</c:v>
                </c:pt>
                <c:pt idx="80">
                  <c:v>57.20000000000001</c:v>
                </c:pt>
                <c:pt idx="81">
                  <c:v>57.20000000000001</c:v>
                </c:pt>
                <c:pt idx="82">
                  <c:v>57.20000000000001</c:v>
                </c:pt>
                <c:pt idx="83">
                  <c:v>57.20000000000001</c:v>
                </c:pt>
                <c:pt idx="84">
                  <c:v>57.20000000000001</c:v>
                </c:pt>
                <c:pt idx="85">
                  <c:v>57.20000000000001</c:v>
                </c:pt>
                <c:pt idx="86">
                  <c:v>57.20000000000001</c:v>
                </c:pt>
                <c:pt idx="87">
                  <c:v>57.20000000000001</c:v>
                </c:pt>
                <c:pt idx="88">
                  <c:v>57.20000000000001</c:v>
                </c:pt>
                <c:pt idx="89">
                  <c:v>57.20000000000001</c:v>
                </c:pt>
                <c:pt idx="90">
                  <c:v>57.20000000000001</c:v>
                </c:pt>
                <c:pt idx="91">
                  <c:v>57.20000000000001</c:v>
                </c:pt>
                <c:pt idx="92">
                  <c:v>57.20000000000001</c:v>
                </c:pt>
                <c:pt idx="93">
                  <c:v>57.20000000000001</c:v>
                </c:pt>
                <c:pt idx="94">
                  <c:v>57.20000000000001</c:v>
                </c:pt>
                <c:pt idx="95">
                  <c:v>57.20000000000001</c:v>
                </c:pt>
                <c:pt idx="96">
                  <c:v>57.20000000000001</c:v>
                </c:pt>
                <c:pt idx="97">
                  <c:v>57.20000000000001</c:v>
                </c:pt>
                <c:pt idx="98">
                  <c:v>57.20000000000001</c:v>
                </c:pt>
                <c:pt idx="99">
                  <c:v>57.20000000000001</c:v>
                </c:pt>
                <c:pt idx="100">
                  <c:v>57.20000000000001</c:v>
                </c:pt>
                <c:pt idx="101">
                  <c:v>57.20000000000001</c:v>
                </c:pt>
                <c:pt idx="102">
                  <c:v>57.20000000000001</c:v>
                </c:pt>
                <c:pt idx="103">
                  <c:v>57.20000000000001</c:v>
                </c:pt>
                <c:pt idx="104">
                  <c:v>57.20000000000001</c:v>
                </c:pt>
                <c:pt idx="105">
                  <c:v>57.20000000000001</c:v>
                </c:pt>
                <c:pt idx="106">
                  <c:v>57.20000000000001</c:v>
                </c:pt>
                <c:pt idx="107">
                  <c:v>57.20000000000001</c:v>
                </c:pt>
                <c:pt idx="108">
                  <c:v>57.20000000000001</c:v>
                </c:pt>
                <c:pt idx="109">
                  <c:v>57.20000000000001</c:v>
                </c:pt>
                <c:pt idx="110">
                  <c:v>57.20000000000001</c:v>
                </c:pt>
                <c:pt idx="111">
                  <c:v>57.20000000000001</c:v>
                </c:pt>
                <c:pt idx="112">
                  <c:v>57.20000000000001</c:v>
                </c:pt>
                <c:pt idx="113">
                  <c:v>57.20000000000001</c:v>
                </c:pt>
                <c:pt idx="114">
                  <c:v>57.20000000000001</c:v>
                </c:pt>
                <c:pt idx="115">
                  <c:v>57.20000000000001</c:v>
                </c:pt>
                <c:pt idx="116">
                  <c:v>57.20000000000001</c:v>
                </c:pt>
                <c:pt idx="117">
                  <c:v>57.20000000000001</c:v>
                </c:pt>
                <c:pt idx="118">
                  <c:v>57.20000000000001</c:v>
                </c:pt>
                <c:pt idx="119">
                  <c:v>57.20000000000001</c:v>
                </c:pt>
                <c:pt idx="120">
                  <c:v>57.20000000000001</c:v>
                </c:pt>
                <c:pt idx="121">
                  <c:v>57.20000000000001</c:v>
                </c:pt>
                <c:pt idx="122">
                  <c:v>57.20000000000001</c:v>
                </c:pt>
                <c:pt idx="123">
                  <c:v>57.20000000000001</c:v>
                </c:pt>
                <c:pt idx="124">
                  <c:v>57.20000000000001</c:v>
                </c:pt>
                <c:pt idx="125">
                  <c:v>57.20000000000001</c:v>
                </c:pt>
                <c:pt idx="126">
                  <c:v>57.20000000000001</c:v>
                </c:pt>
                <c:pt idx="127">
                  <c:v>57.20000000000001</c:v>
                </c:pt>
                <c:pt idx="128">
                  <c:v>57.20000000000001</c:v>
                </c:pt>
                <c:pt idx="129">
                  <c:v>57.20000000000001</c:v>
                </c:pt>
                <c:pt idx="130">
                  <c:v>57.20000000000001</c:v>
                </c:pt>
                <c:pt idx="131">
                  <c:v>57.20000000000001</c:v>
                </c:pt>
                <c:pt idx="132">
                  <c:v>57.20000000000001</c:v>
                </c:pt>
                <c:pt idx="133">
                  <c:v>57.20000000000001</c:v>
                </c:pt>
                <c:pt idx="134">
                  <c:v>57.20000000000001</c:v>
                </c:pt>
                <c:pt idx="135">
                  <c:v>57.20000000000001</c:v>
                </c:pt>
                <c:pt idx="136">
                  <c:v>57.20000000000001</c:v>
                </c:pt>
                <c:pt idx="137">
                  <c:v>57.20000000000001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59552"/>
        <c:axId val="94761344"/>
      </c:lineChart>
      <c:catAx>
        <c:axId val="9475955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476134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4761344"/>
        <c:scaling>
          <c:orientation val="minMax"/>
          <c:max val="59"/>
          <c:min val="56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/>
                  <a:t>A</a:t>
                </a:r>
                <a:r>
                  <a:rPr lang="en-US" sz="2000" b="1" i="0" baseline="0">
                    <a:effectLst/>
                  </a:rPr>
                  <a:t>verage Annual Temperature °F</a:t>
                </a:r>
                <a:endParaRPr lang="en-US" sz="2000">
                  <a:effectLst/>
                </a:endParaRPr>
              </a:p>
            </c:rich>
          </c:tx>
          <c:layout>
            <c:manualLayout>
              <c:xMode val="edge"/>
              <c:yMode val="edge"/>
              <c:x val="6.9461148618233314E-4"/>
              <c:y val="0.33689472755286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4759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856190647569621"/>
          <c:y val="0.31510443012805217"/>
          <c:w val="0.64549923709622625"/>
          <c:h val="0.2242742384474668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00988779618285"/>
          <c:y val="0.15172226198997851"/>
          <c:w val="0.88225230386089681"/>
          <c:h val="0.76923407301360058"/>
        </c:manualLayout>
      </c:layout>
      <c:lineChart>
        <c:grouping val="standard"/>
        <c:varyColors val="0"/>
        <c:ser>
          <c:idx val="3"/>
          <c:order val="0"/>
          <c:tx>
            <c:v>Actual Temperature</c:v>
          </c:tx>
          <c:spPr>
            <a:ln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'Data - Perc in Intense Storms'!$C$3:$C$110</c:f>
              <c:numCache>
                <c:formatCode>General</c:formatCode>
                <c:ptCount val="108"/>
                <c:pt idx="0">
                  <c:v>1910</c:v>
                </c:pt>
                <c:pt idx="1">
                  <c:v>1911</c:v>
                </c:pt>
                <c:pt idx="2">
                  <c:v>1912</c:v>
                </c:pt>
                <c:pt idx="3">
                  <c:v>1913</c:v>
                </c:pt>
                <c:pt idx="4">
                  <c:v>1914</c:v>
                </c:pt>
                <c:pt idx="5">
                  <c:v>1915</c:v>
                </c:pt>
                <c:pt idx="6">
                  <c:v>1916</c:v>
                </c:pt>
                <c:pt idx="7">
                  <c:v>1917</c:v>
                </c:pt>
                <c:pt idx="8">
                  <c:v>1918</c:v>
                </c:pt>
                <c:pt idx="9">
                  <c:v>1919</c:v>
                </c:pt>
                <c:pt idx="10">
                  <c:v>1920</c:v>
                </c:pt>
                <c:pt idx="11">
                  <c:v>1921</c:v>
                </c:pt>
                <c:pt idx="12">
                  <c:v>1922</c:v>
                </c:pt>
                <c:pt idx="13">
                  <c:v>1923</c:v>
                </c:pt>
                <c:pt idx="14">
                  <c:v>1924</c:v>
                </c:pt>
                <c:pt idx="15">
                  <c:v>1925</c:v>
                </c:pt>
                <c:pt idx="16">
                  <c:v>1926</c:v>
                </c:pt>
                <c:pt idx="17">
                  <c:v>1927</c:v>
                </c:pt>
                <c:pt idx="18">
                  <c:v>1928</c:v>
                </c:pt>
                <c:pt idx="19">
                  <c:v>1929</c:v>
                </c:pt>
                <c:pt idx="20">
                  <c:v>1930</c:v>
                </c:pt>
                <c:pt idx="21">
                  <c:v>1931</c:v>
                </c:pt>
                <c:pt idx="22">
                  <c:v>1932</c:v>
                </c:pt>
                <c:pt idx="23">
                  <c:v>1933</c:v>
                </c:pt>
                <c:pt idx="24">
                  <c:v>1934</c:v>
                </c:pt>
                <c:pt idx="25">
                  <c:v>1935</c:v>
                </c:pt>
                <c:pt idx="26">
                  <c:v>1936</c:v>
                </c:pt>
                <c:pt idx="27">
                  <c:v>1937</c:v>
                </c:pt>
                <c:pt idx="28">
                  <c:v>1938</c:v>
                </c:pt>
                <c:pt idx="29">
                  <c:v>1939</c:v>
                </c:pt>
                <c:pt idx="30">
                  <c:v>1940</c:v>
                </c:pt>
                <c:pt idx="31">
                  <c:v>1941</c:v>
                </c:pt>
                <c:pt idx="32">
                  <c:v>1942</c:v>
                </c:pt>
                <c:pt idx="33">
                  <c:v>1943</c:v>
                </c:pt>
                <c:pt idx="34">
                  <c:v>1944</c:v>
                </c:pt>
                <c:pt idx="35">
                  <c:v>1945</c:v>
                </c:pt>
                <c:pt idx="36">
                  <c:v>1946</c:v>
                </c:pt>
                <c:pt idx="37">
                  <c:v>1947</c:v>
                </c:pt>
                <c:pt idx="38">
                  <c:v>1948</c:v>
                </c:pt>
                <c:pt idx="39">
                  <c:v>1949</c:v>
                </c:pt>
                <c:pt idx="40">
                  <c:v>1950</c:v>
                </c:pt>
                <c:pt idx="41">
                  <c:v>1951</c:v>
                </c:pt>
                <c:pt idx="42">
                  <c:v>1952</c:v>
                </c:pt>
                <c:pt idx="43">
                  <c:v>1953</c:v>
                </c:pt>
                <c:pt idx="44">
                  <c:v>1954</c:v>
                </c:pt>
                <c:pt idx="45">
                  <c:v>1955</c:v>
                </c:pt>
                <c:pt idx="46">
                  <c:v>1956</c:v>
                </c:pt>
                <c:pt idx="47">
                  <c:v>1957</c:v>
                </c:pt>
                <c:pt idx="48">
                  <c:v>1958</c:v>
                </c:pt>
                <c:pt idx="49">
                  <c:v>1959</c:v>
                </c:pt>
                <c:pt idx="50">
                  <c:v>1960</c:v>
                </c:pt>
                <c:pt idx="51">
                  <c:v>1961</c:v>
                </c:pt>
                <c:pt idx="52">
                  <c:v>1962</c:v>
                </c:pt>
                <c:pt idx="53">
                  <c:v>1963</c:v>
                </c:pt>
                <c:pt idx="54">
                  <c:v>1964</c:v>
                </c:pt>
                <c:pt idx="55">
                  <c:v>1965</c:v>
                </c:pt>
                <c:pt idx="56">
                  <c:v>1966</c:v>
                </c:pt>
                <c:pt idx="57">
                  <c:v>1967</c:v>
                </c:pt>
                <c:pt idx="58">
                  <c:v>1968</c:v>
                </c:pt>
                <c:pt idx="59">
                  <c:v>1969</c:v>
                </c:pt>
                <c:pt idx="60">
                  <c:v>1970</c:v>
                </c:pt>
                <c:pt idx="61">
                  <c:v>1971</c:v>
                </c:pt>
                <c:pt idx="62">
                  <c:v>1972</c:v>
                </c:pt>
                <c:pt idx="63">
                  <c:v>1973</c:v>
                </c:pt>
                <c:pt idx="64">
                  <c:v>1974</c:v>
                </c:pt>
                <c:pt idx="65">
                  <c:v>1975</c:v>
                </c:pt>
                <c:pt idx="66">
                  <c:v>1976</c:v>
                </c:pt>
                <c:pt idx="67">
                  <c:v>1977</c:v>
                </c:pt>
                <c:pt idx="68">
                  <c:v>1978</c:v>
                </c:pt>
                <c:pt idx="69">
                  <c:v>1979</c:v>
                </c:pt>
                <c:pt idx="70">
                  <c:v>1980</c:v>
                </c:pt>
                <c:pt idx="71">
                  <c:v>1981</c:v>
                </c:pt>
                <c:pt idx="72">
                  <c:v>1982</c:v>
                </c:pt>
                <c:pt idx="73">
                  <c:v>1983</c:v>
                </c:pt>
                <c:pt idx="74">
                  <c:v>1984</c:v>
                </c:pt>
                <c:pt idx="75">
                  <c:v>1985</c:v>
                </c:pt>
                <c:pt idx="76">
                  <c:v>1986</c:v>
                </c:pt>
                <c:pt idx="77">
                  <c:v>1987</c:v>
                </c:pt>
                <c:pt idx="78">
                  <c:v>1988</c:v>
                </c:pt>
                <c:pt idx="79">
                  <c:v>1989</c:v>
                </c:pt>
                <c:pt idx="80">
                  <c:v>1990</c:v>
                </c:pt>
                <c:pt idx="81">
                  <c:v>1991</c:v>
                </c:pt>
                <c:pt idx="82">
                  <c:v>1992</c:v>
                </c:pt>
                <c:pt idx="83">
                  <c:v>1993</c:v>
                </c:pt>
                <c:pt idx="84">
                  <c:v>1994</c:v>
                </c:pt>
                <c:pt idx="85">
                  <c:v>1995</c:v>
                </c:pt>
                <c:pt idx="86">
                  <c:v>1996</c:v>
                </c:pt>
                <c:pt idx="87">
                  <c:v>1997</c:v>
                </c:pt>
                <c:pt idx="88">
                  <c:v>1998</c:v>
                </c:pt>
                <c:pt idx="89">
                  <c:v>1999</c:v>
                </c:pt>
                <c:pt idx="90">
                  <c:v>2000</c:v>
                </c:pt>
                <c:pt idx="91">
                  <c:v>2001</c:v>
                </c:pt>
                <c:pt idx="92">
                  <c:v>2002</c:v>
                </c:pt>
                <c:pt idx="93">
                  <c:v>2003</c:v>
                </c:pt>
                <c:pt idx="94">
                  <c:v>2004</c:v>
                </c:pt>
                <c:pt idx="95">
                  <c:v>2005</c:v>
                </c:pt>
                <c:pt idx="96">
                  <c:v>2006</c:v>
                </c:pt>
                <c:pt idx="97">
                  <c:v>2007</c:v>
                </c:pt>
                <c:pt idx="98">
                  <c:v>2008</c:v>
                </c:pt>
                <c:pt idx="99">
                  <c:v>2009</c:v>
                </c:pt>
                <c:pt idx="100">
                  <c:v>2010</c:v>
                </c:pt>
                <c:pt idx="101">
                  <c:v>2011</c:v>
                </c:pt>
                <c:pt idx="102">
                  <c:v>2012</c:v>
                </c:pt>
                <c:pt idx="103">
                  <c:v>2013</c:v>
                </c:pt>
                <c:pt idx="104">
                  <c:v>2014</c:v>
                </c:pt>
                <c:pt idx="105">
                  <c:v>2015</c:v>
                </c:pt>
                <c:pt idx="106">
                  <c:v>2016</c:v>
                </c:pt>
                <c:pt idx="107">
                  <c:v>2017</c:v>
                </c:pt>
              </c:numCache>
            </c:numRef>
          </c:cat>
          <c:val>
            <c:numRef>
              <c:f>GlobalAnnualTemperatureAnomalie!$F$8:$F$145</c:f>
              <c:numCache>
                <c:formatCode>0.00</c:formatCode>
                <c:ptCount val="138"/>
                <c:pt idx="0">
                  <c:v>56.858000000000004</c:v>
                </c:pt>
                <c:pt idx="1">
                  <c:v>57.002000000000002</c:v>
                </c:pt>
                <c:pt idx="2">
                  <c:v>57.002000000000002</c:v>
                </c:pt>
                <c:pt idx="3">
                  <c:v>56.84</c:v>
                </c:pt>
                <c:pt idx="4">
                  <c:v>56.696000000000005</c:v>
                </c:pt>
                <c:pt idx="5">
                  <c:v>56.624000000000002</c:v>
                </c:pt>
                <c:pt idx="6">
                  <c:v>56.624000000000002</c:v>
                </c:pt>
                <c:pt idx="7">
                  <c:v>56.57</c:v>
                </c:pt>
                <c:pt idx="8">
                  <c:v>56.858000000000004</c:v>
                </c:pt>
                <c:pt idx="9">
                  <c:v>56.984000000000002</c:v>
                </c:pt>
                <c:pt idx="10">
                  <c:v>56.516000000000005</c:v>
                </c:pt>
                <c:pt idx="11">
                  <c:v>56.75</c:v>
                </c:pt>
                <c:pt idx="12">
                  <c:v>56.696000000000005</c:v>
                </c:pt>
                <c:pt idx="13">
                  <c:v>56.606000000000002</c:v>
                </c:pt>
                <c:pt idx="14">
                  <c:v>56.624000000000002</c:v>
                </c:pt>
                <c:pt idx="15">
                  <c:v>56.768000000000001</c:v>
                </c:pt>
                <c:pt idx="16">
                  <c:v>56.966000000000001</c:v>
                </c:pt>
                <c:pt idx="17">
                  <c:v>56.966000000000001</c:v>
                </c:pt>
                <c:pt idx="18">
                  <c:v>56.696000000000005</c:v>
                </c:pt>
                <c:pt idx="19">
                  <c:v>56.858000000000004</c:v>
                </c:pt>
                <c:pt idx="20">
                  <c:v>57.02</c:v>
                </c:pt>
                <c:pt idx="21">
                  <c:v>56.912000000000006</c:v>
                </c:pt>
                <c:pt idx="22">
                  <c:v>56.660000000000004</c:v>
                </c:pt>
                <c:pt idx="23">
                  <c:v>56.498000000000005</c:v>
                </c:pt>
                <c:pt idx="24">
                  <c:v>56.300000000000004</c:v>
                </c:pt>
                <c:pt idx="25">
                  <c:v>56.696000000000005</c:v>
                </c:pt>
                <c:pt idx="26">
                  <c:v>56.786000000000001</c:v>
                </c:pt>
                <c:pt idx="27">
                  <c:v>56.480000000000004</c:v>
                </c:pt>
                <c:pt idx="28">
                  <c:v>56.408000000000001</c:v>
                </c:pt>
                <c:pt idx="29">
                  <c:v>56.336000000000006</c:v>
                </c:pt>
                <c:pt idx="30">
                  <c:v>56.408000000000001</c:v>
                </c:pt>
                <c:pt idx="31">
                  <c:v>56.426000000000002</c:v>
                </c:pt>
                <c:pt idx="32">
                  <c:v>56.552</c:v>
                </c:pt>
                <c:pt idx="33">
                  <c:v>56.57</c:v>
                </c:pt>
                <c:pt idx="34">
                  <c:v>56.912000000000006</c:v>
                </c:pt>
                <c:pt idx="35">
                  <c:v>56.984000000000002</c:v>
                </c:pt>
                <c:pt idx="36">
                  <c:v>56.606000000000002</c:v>
                </c:pt>
                <c:pt idx="37">
                  <c:v>56.408000000000001</c:v>
                </c:pt>
                <c:pt idx="38">
                  <c:v>56.696000000000005</c:v>
                </c:pt>
                <c:pt idx="39">
                  <c:v>56.714000000000006</c:v>
                </c:pt>
                <c:pt idx="40">
                  <c:v>56.731999999999999</c:v>
                </c:pt>
                <c:pt idx="41">
                  <c:v>56.876000000000005</c:v>
                </c:pt>
                <c:pt idx="42">
                  <c:v>56.714000000000006</c:v>
                </c:pt>
                <c:pt idx="43">
                  <c:v>56.75</c:v>
                </c:pt>
                <c:pt idx="44">
                  <c:v>56.731999999999999</c:v>
                </c:pt>
                <c:pt idx="45">
                  <c:v>56.822000000000003</c:v>
                </c:pt>
                <c:pt idx="46">
                  <c:v>57.038000000000004</c:v>
                </c:pt>
                <c:pt idx="47">
                  <c:v>56.84</c:v>
                </c:pt>
                <c:pt idx="48">
                  <c:v>56.858000000000004</c:v>
                </c:pt>
                <c:pt idx="49">
                  <c:v>56.57</c:v>
                </c:pt>
                <c:pt idx="50">
                  <c:v>56.93</c:v>
                </c:pt>
                <c:pt idx="51">
                  <c:v>57.02</c:v>
                </c:pt>
                <c:pt idx="52">
                  <c:v>56.894000000000005</c:v>
                </c:pt>
                <c:pt idx="53">
                  <c:v>56.660000000000004</c:v>
                </c:pt>
                <c:pt idx="54">
                  <c:v>56.948</c:v>
                </c:pt>
                <c:pt idx="55">
                  <c:v>56.822000000000003</c:v>
                </c:pt>
                <c:pt idx="56">
                  <c:v>56.912000000000006</c:v>
                </c:pt>
                <c:pt idx="57">
                  <c:v>57.128</c:v>
                </c:pt>
                <c:pt idx="58">
                  <c:v>57.146000000000001</c:v>
                </c:pt>
                <c:pt idx="59">
                  <c:v>57.146000000000001</c:v>
                </c:pt>
                <c:pt idx="60">
                  <c:v>57.398000000000003</c:v>
                </c:pt>
                <c:pt idx="61">
                  <c:v>57.524000000000001</c:v>
                </c:pt>
                <c:pt idx="62">
                  <c:v>57.290000000000006</c:v>
                </c:pt>
                <c:pt idx="63">
                  <c:v>57.326000000000001</c:v>
                </c:pt>
                <c:pt idx="64">
                  <c:v>57.56</c:v>
                </c:pt>
                <c:pt idx="65">
                  <c:v>57.344000000000001</c:v>
                </c:pt>
                <c:pt idx="66">
                  <c:v>57.074000000000005</c:v>
                </c:pt>
                <c:pt idx="67">
                  <c:v>57.128</c:v>
                </c:pt>
                <c:pt idx="68">
                  <c:v>57.002000000000002</c:v>
                </c:pt>
                <c:pt idx="69">
                  <c:v>57.002000000000002</c:v>
                </c:pt>
                <c:pt idx="70">
                  <c:v>56.876000000000005</c:v>
                </c:pt>
                <c:pt idx="71">
                  <c:v>57.074000000000005</c:v>
                </c:pt>
                <c:pt idx="72">
                  <c:v>57.218000000000004</c:v>
                </c:pt>
                <c:pt idx="73">
                  <c:v>57.326000000000001</c:v>
                </c:pt>
                <c:pt idx="74">
                  <c:v>56.93</c:v>
                </c:pt>
                <c:pt idx="75">
                  <c:v>56.93</c:v>
                </c:pt>
                <c:pt idx="76">
                  <c:v>56.822000000000003</c:v>
                </c:pt>
                <c:pt idx="77">
                  <c:v>57.290000000000006</c:v>
                </c:pt>
                <c:pt idx="78">
                  <c:v>57.344000000000001</c:v>
                </c:pt>
                <c:pt idx="79">
                  <c:v>57.254000000000005</c:v>
                </c:pt>
                <c:pt idx="80">
                  <c:v>57.164000000000001</c:v>
                </c:pt>
                <c:pt idx="81">
                  <c:v>57.308</c:v>
                </c:pt>
                <c:pt idx="82">
                  <c:v>57.290000000000006</c:v>
                </c:pt>
                <c:pt idx="83">
                  <c:v>57.326000000000001</c:v>
                </c:pt>
                <c:pt idx="84">
                  <c:v>56.84</c:v>
                </c:pt>
                <c:pt idx="85">
                  <c:v>57.002000000000002</c:v>
                </c:pt>
                <c:pt idx="86">
                  <c:v>57.11</c:v>
                </c:pt>
                <c:pt idx="87">
                  <c:v>57.164000000000001</c:v>
                </c:pt>
                <c:pt idx="88">
                  <c:v>57.074000000000005</c:v>
                </c:pt>
                <c:pt idx="89">
                  <c:v>57.326000000000001</c:v>
                </c:pt>
                <c:pt idx="90">
                  <c:v>57.254000000000005</c:v>
                </c:pt>
                <c:pt idx="91">
                  <c:v>57.038000000000004</c:v>
                </c:pt>
                <c:pt idx="92">
                  <c:v>57.218000000000004</c:v>
                </c:pt>
                <c:pt idx="93">
                  <c:v>57.470000000000006</c:v>
                </c:pt>
                <c:pt idx="94">
                  <c:v>57.056000000000004</c:v>
                </c:pt>
                <c:pt idx="95">
                  <c:v>57.182000000000002</c:v>
                </c:pt>
                <c:pt idx="96">
                  <c:v>57.02</c:v>
                </c:pt>
                <c:pt idx="97">
                  <c:v>57.506</c:v>
                </c:pt>
                <c:pt idx="98">
                  <c:v>57.326000000000001</c:v>
                </c:pt>
                <c:pt idx="99">
                  <c:v>57.488</c:v>
                </c:pt>
                <c:pt idx="100">
                  <c:v>57.686</c:v>
                </c:pt>
                <c:pt idx="101">
                  <c:v>57.794000000000004</c:v>
                </c:pt>
                <c:pt idx="102">
                  <c:v>57.434000000000005</c:v>
                </c:pt>
                <c:pt idx="103">
                  <c:v>57.758000000000003</c:v>
                </c:pt>
                <c:pt idx="104">
                  <c:v>57.488</c:v>
                </c:pt>
                <c:pt idx="105">
                  <c:v>57.398000000000003</c:v>
                </c:pt>
                <c:pt idx="106">
                  <c:v>57.524000000000001</c:v>
                </c:pt>
                <c:pt idx="107">
                  <c:v>57.794000000000004</c:v>
                </c:pt>
                <c:pt idx="108">
                  <c:v>57.92</c:v>
                </c:pt>
                <c:pt idx="109">
                  <c:v>57.704000000000001</c:v>
                </c:pt>
                <c:pt idx="110">
                  <c:v>57.992000000000004</c:v>
                </c:pt>
                <c:pt idx="111">
                  <c:v>57.938000000000002</c:v>
                </c:pt>
                <c:pt idx="112">
                  <c:v>57.578000000000003</c:v>
                </c:pt>
                <c:pt idx="113">
                  <c:v>57.614000000000004</c:v>
                </c:pt>
                <c:pt idx="114">
                  <c:v>57.758000000000003</c:v>
                </c:pt>
                <c:pt idx="115">
                  <c:v>57.992000000000004</c:v>
                </c:pt>
                <c:pt idx="116">
                  <c:v>57.794000000000004</c:v>
                </c:pt>
                <c:pt idx="117">
                  <c:v>58.045999999999999</c:v>
                </c:pt>
                <c:pt idx="118">
                  <c:v>58.316000000000003</c:v>
                </c:pt>
                <c:pt idx="119">
                  <c:v>57.902000000000001</c:v>
                </c:pt>
                <c:pt idx="120">
                  <c:v>57.92</c:v>
                </c:pt>
                <c:pt idx="121">
                  <c:v>58.154000000000003</c:v>
                </c:pt>
                <c:pt idx="122">
                  <c:v>58.316000000000003</c:v>
                </c:pt>
                <c:pt idx="123">
                  <c:v>58.298000000000002</c:v>
                </c:pt>
                <c:pt idx="124">
                  <c:v>58.172000000000004</c:v>
                </c:pt>
                <c:pt idx="125">
                  <c:v>58.388000000000005</c:v>
                </c:pt>
                <c:pt idx="126">
                  <c:v>58.298000000000002</c:v>
                </c:pt>
                <c:pt idx="127">
                  <c:v>58.334000000000003</c:v>
                </c:pt>
                <c:pt idx="128">
                  <c:v>58.118000000000002</c:v>
                </c:pt>
                <c:pt idx="129">
                  <c:v>58.334000000000003</c:v>
                </c:pt>
                <c:pt idx="130">
                  <c:v>58.442</c:v>
                </c:pt>
                <c:pt idx="131">
                  <c:v>58.208000000000006</c:v>
                </c:pt>
                <c:pt idx="132">
                  <c:v>58.298000000000002</c:v>
                </c:pt>
                <c:pt idx="133">
                  <c:v>58.352000000000004</c:v>
                </c:pt>
                <c:pt idx="134">
                  <c:v>58.514000000000003</c:v>
                </c:pt>
                <c:pt idx="135">
                  <c:v>58.748000000000005</c:v>
                </c:pt>
                <c:pt idx="136">
                  <c:v>58.964000000000006</c:v>
                </c:pt>
                <c:pt idx="137">
                  <c:v>58.802</c:v>
                </c:pt>
              </c:numCache>
            </c:numRef>
          </c:val>
          <c:smooth val="0"/>
        </c:ser>
        <c:ser>
          <c:idx val="4"/>
          <c:order val="1"/>
          <c:tx>
            <c:v>Trend -- Moving 5 Year Average</c:v>
          </c:tx>
          <c:spPr>
            <a:ln w="571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'Global Temp'!$E$7:$E$144</c:f>
              <c:numCache>
                <c:formatCode>General</c:formatCode>
                <c:ptCount val="138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</c:numCache>
            </c:numRef>
          </c:cat>
          <c:val>
            <c:numRef>
              <c:f>GlobalAnnualTemperatureAnomalie!$G$8:$G$145</c:f>
              <c:numCache>
                <c:formatCode>0.00</c:formatCode>
                <c:ptCount val="138"/>
                <c:pt idx="0">
                  <c:v>56.984000000000002</c:v>
                </c:pt>
                <c:pt idx="1">
                  <c:v>56.93</c:v>
                </c:pt>
                <c:pt idx="2">
                  <c:v>56.876000000000005</c:v>
                </c:pt>
                <c:pt idx="3">
                  <c:v>56.822000000000003</c:v>
                </c:pt>
                <c:pt idx="4">
                  <c:v>56.768000000000001</c:v>
                </c:pt>
                <c:pt idx="5">
                  <c:v>56.714000000000006</c:v>
                </c:pt>
                <c:pt idx="6">
                  <c:v>56.714000000000006</c:v>
                </c:pt>
                <c:pt idx="7">
                  <c:v>56.696000000000005</c:v>
                </c:pt>
                <c:pt idx="8">
                  <c:v>56.696000000000005</c:v>
                </c:pt>
                <c:pt idx="9">
                  <c:v>56.714000000000006</c:v>
                </c:pt>
                <c:pt idx="10">
                  <c:v>56.714000000000006</c:v>
                </c:pt>
                <c:pt idx="11">
                  <c:v>56.714000000000006</c:v>
                </c:pt>
                <c:pt idx="12">
                  <c:v>56.696000000000005</c:v>
                </c:pt>
                <c:pt idx="13">
                  <c:v>56.696000000000005</c:v>
                </c:pt>
                <c:pt idx="14">
                  <c:v>56.75</c:v>
                </c:pt>
                <c:pt idx="15">
                  <c:v>56.768000000000001</c:v>
                </c:pt>
                <c:pt idx="16">
                  <c:v>56.804000000000002</c:v>
                </c:pt>
                <c:pt idx="17">
                  <c:v>56.84</c:v>
                </c:pt>
                <c:pt idx="18">
                  <c:v>56.876000000000005</c:v>
                </c:pt>
                <c:pt idx="19">
                  <c:v>56.858000000000004</c:v>
                </c:pt>
                <c:pt idx="20">
                  <c:v>56.822000000000003</c:v>
                </c:pt>
                <c:pt idx="21">
                  <c:v>56.75</c:v>
                </c:pt>
                <c:pt idx="22">
                  <c:v>56.714000000000006</c:v>
                </c:pt>
                <c:pt idx="23">
                  <c:v>56.660000000000004</c:v>
                </c:pt>
                <c:pt idx="24">
                  <c:v>56.606000000000002</c:v>
                </c:pt>
                <c:pt idx="25">
                  <c:v>56.57</c:v>
                </c:pt>
                <c:pt idx="26">
                  <c:v>56.534000000000006</c:v>
                </c:pt>
                <c:pt idx="27">
                  <c:v>56.516000000000005</c:v>
                </c:pt>
                <c:pt idx="28">
                  <c:v>56.480000000000004</c:v>
                </c:pt>
                <c:pt idx="29">
                  <c:v>56.462000000000003</c:v>
                </c:pt>
                <c:pt idx="30">
                  <c:v>56.444000000000003</c:v>
                </c:pt>
                <c:pt idx="31">
                  <c:v>56.498000000000005</c:v>
                </c:pt>
                <c:pt idx="32">
                  <c:v>56.57</c:v>
                </c:pt>
                <c:pt idx="33">
                  <c:v>56.624000000000002</c:v>
                </c:pt>
                <c:pt idx="34">
                  <c:v>56.642000000000003</c:v>
                </c:pt>
                <c:pt idx="35">
                  <c:v>56.678000000000004</c:v>
                </c:pt>
                <c:pt idx="36">
                  <c:v>56.696000000000005</c:v>
                </c:pt>
                <c:pt idx="37">
                  <c:v>56.696000000000005</c:v>
                </c:pt>
                <c:pt idx="38">
                  <c:v>56.696000000000005</c:v>
                </c:pt>
                <c:pt idx="39">
                  <c:v>56.696000000000005</c:v>
                </c:pt>
                <c:pt idx="40">
                  <c:v>56.731999999999999</c:v>
                </c:pt>
                <c:pt idx="41">
                  <c:v>56.75</c:v>
                </c:pt>
                <c:pt idx="42">
                  <c:v>56.768000000000001</c:v>
                </c:pt>
                <c:pt idx="43">
                  <c:v>56.786000000000001</c:v>
                </c:pt>
                <c:pt idx="44">
                  <c:v>56.804000000000002</c:v>
                </c:pt>
                <c:pt idx="45">
                  <c:v>56.822000000000003</c:v>
                </c:pt>
                <c:pt idx="46">
                  <c:v>56.822000000000003</c:v>
                </c:pt>
                <c:pt idx="47">
                  <c:v>56.84</c:v>
                </c:pt>
                <c:pt idx="48">
                  <c:v>56.858000000000004</c:v>
                </c:pt>
                <c:pt idx="49">
                  <c:v>56.876000000000005</c:v>
                </c:pt>
                <c:pt idx="50">
                  <c:v>56.858000000000004</c:v>
                </c:pt>
                <c:pt idx="51">
                  <c:v>56.858000000000004</c:v>
                </c:pt>
                <c:pt idx="52">
                  <c:v>56.876000000000005</c:v>
                </c:pt>
                <c:pt idx="53">
                  <c:v>56.876000000000005</c:v>
                </c:pt>
                <c:pt idx="54">
                  <c:v>56.894000000000005</c:v>
                </c:pt>
                <c:pt idx="55">
                  <c:v>56.93</c:v>
                </c:pt>
                <c:pt idx="56">
                  <c:v>56.984000000000002</c:v>
                </c:pt>
                <c:pt idx="57">
                  <c:v>57.056000000000004</c:v>
                </c:pt>
                <c:pt idx="58">
                  <c:v>57.146000000000001</c:v>
                </c:pt>
                <c:pt idx="59">
                  <c:v>57.218000000000004</c:v>
                </c:pt>
                <c:pt idx="60">
                  <c:v>57.290000000000006</c:v>
                </c:pt>
                <c:pt idx="61">
                  <c:v>57.326000000000001</c:v>
                </c:pt>
                <c:pt idx="62">
                  <c:v>57.362000000000002</c:v>
                </c:pt>
                <c:pt idx="63">
                  <c:v>57.362000000000002</c:v>
                </c:pt>
                <c:pt idx="64">
                  <c:v>57.308</c:v>
                </c:pt>
                <c:pt idx="65">
                  <c:v>57.254000000000005</c:v>
                </c:pt>
                <c:pt idx="66">
                  <c:v>57.2</c:v>
                </c:pt>
                <c:pt idx="67">
                  <c:v>57.128</c:v>
                </c:pt>
                <c:pt idx="68">
                  <c:v>57.074000000000005</c:v>
                </c:pt>
                <c:pt idx="69">
                  <c:v>57.038000000000004</c:v>
                </c:pt>
                <c:pt idx="70">
                  <c:v>57.056000000000004</c:v>
                </c:pt>
                <c:pt idx="71">
                  <c:v>57.056000000000004</c:v>
                </c:pt>
                <c:pt idx="72">
                  <c:v>57.056000000000004</c:v>
                </c:pt>
                <c:pt idx="73">
                  <c:v>57.056000000000004</c:v>
                </c:pt>
                <c:pt idx="74">
                  <c:v>57.074000000000005</c:v>
                </c:pt>
                <c:pt idx="75">
                  <c:v>57.092000000000006</c:v>
                </c:pt>
                <c:pt idx="76">
                  <c:v>57.11</c:v>
                </c:pt>
                <c:pt idx="77">
                  <c:v>57.128</c:v>
                </c:pt>
                <c:pt idx="78">
                  <c:v>57.182000000000002</c:v>
                </c:pt>
                <c:pt idx="79">
                  <c:v>57.236000000000004</c:v>
                </c:pt>
                <c:pt idx="80">
                  <c:v>57.254000000000005</c:v>
                </c:pt>
                <c:pt idx="81">
                  <c:v>57.236000000000004</c:v>
                </c:pt>
                <c:pt idx="82">
                  <c:v>57.2</c:v>
                </c:pt>
                <c:pt idx="83">
                  <c:v>57.164000000000001</c:v>
                </c:pt>
                <c:pt idx="84">
                  <c:v>57.146000000000001</c:v>
                </c:pt>
                <c:pt idx="85">
                  <c:v>57.128</c:v>
                </c:pt>
                <c:pt idx="86">
                  <c:v>57.11</c:v>
                </c:pt>
                <c:pt idx="87">
                  <c:v>57.128</c:v>
                </c:pt>
                <c:pt idx="88">
                  <c:v>57.146000000000001</c:v>
                </c:pt>
                <c:pt idx="89">
                  <c:v>57.182000000000002</c:v>
                </c:pt>
                <c:pt idx="90">
                  <c:v>57.2</c:v>
                </c:pt>
                <c:pt idx="91">
                  <c:v>57.2</c:v>
                </c:pt>
                <c:pt idx="92">
                  <c:v>57.2</c:v>
                </c:pt>
                <c:pt idx="93">
                  <c:v>57.182000000000002</c:v>
                </c:pt>
                <c:pt idx="94">
                  <c:v>57.2</c:v>
                </c:pt>
                <c:pt idx="95">
                  <c:v>57.236000000000004</c:v>
                </c:pt>
                <c:pt idx="96">
                  <c:v>57.272000000000006</c:v>
                </c:pt>
                <c:pt idx="97">
                  <c:v>57.326000000000001</c:v>
                </c:pt>
                <c:pt idx="98">
                  <c:v>57.416000000000004</c:v>
                </c:pt>
                <c:pt idx="99">
                  <c:v>57.488</c:v>
                </c:pt>
                <c:pt idx="100">
                  <c:v>57.56</c:v>
                </c:pt>
                <c:pt idx="101">
                  <c:v>57.578000000000003</c:v>
                </c:pt>
                <c:pt idx="102">
                  <c:v>57.596000000000004</c:v>
                </c:pt>
                <c:pt idx="103">
                  <c:v>57.578000000000003</c:v>
                </c:pt>
                <c:pt idx="104">
                  <c:v>57.578000000000003</c:v>
                </c:pt>
                <c:pt idx="105">
                  <c:v>57.596000000000004</c:v>
                </c:pt>
                <c:pt idx="106">
                  <c:v>57.650000000000006</c:v>
                </c:pt>
                <c:pt idx="107">
                  <c:v>57.686</c:v>
                </c:pt>
                <c:pt idx="108">
                  <c:v>57.758000000000003</c:v>
                </c:pt>
                <c:pt idx="109">
                  <c:v>57.794000000000004</c:v>
                </c:pt>
                <c:pt idx="110">
                  <c:v>57.794000000000004</c:v>
                </c:pt>
                <c:pt idx="111">
                  <c:v>57.794000000000004</c:v>
                </c:pt>
                <c:pt idx="112">
                  <c:v>57.794000000000004</c:v>
                </c:pt>
                <c:pt idx="113">
                  <c:v>57.794000000000004</c:v>
                </c:pt>
                <c:pt idx="114">
                  <c:v>57.812000000000005</c:v>
                </c:pt>
                <c:pt idx="115">
                  <c:v>57.848000000000006</c:v>
                </c:pt>
                <c:pt idx="116">
                  <c:v>57.92</c:v>
                </c:pt>
                <c:pt idx="117">
                  <c:v>57.956000000000003</c:v>
                </c:pt>
                <c:pt idx="118">
                  <c:v>57.992000000000004</c:v>
                </c:pt>
                <c:pt idx="119">
                  <c:v>58.045999999999999</c:v>
                </c:pt>
                <c:pt idx="120">
                  <c:v>58.1</c:v>
                </c:pt>
                <c:pt idx="121">
                  <c:v>58.136000000000003</c:v>
                </c:pt>
                <c:pt idx="122">
                  <c:v>58.172000000000004</c:v>
                </c:pt>
                <c:pt idx="123">
                  <c:v>58.226000000000006</c:v>
                </c:pt>
                <c:pt idx="124">
                  <c:v>58.28</c:v>
                </c:pt>
                <c:pt idx="125">
                  <c:v>58.28</c:v>
                </c:pt>
                <c:pt idx="126">
                  <c:v>58.28</c:v>
                </c:pt>
                <c:pt idx="127">
                  <c:v>58.298000000000002</c:v>
                </c:pt>
                <c:pt idx="128">
                  <c:v>58.298000000000002</c:v>
                </c:pt>
                <c:pt idx="129">
                  <c:v>58.298000000000002</c:v>
                </c:pt>
                <c:pt idx="130">
                  <c:v>58.298000000000002</c:v>
                </c:pt>
                <c:pt idx="131">
                  <c:v>58.334000000000003</c:v>
                </c:pt>
                <c:pt idx="132">
                  <c:v>58.388000000000005</c:v>
                </c:pt>
                <c:pt idx="133">
                  <c:v>58.478000000000002</c:v>
                </c:pt>
                <c:pt idx="134">
                  <c:v>58.568000000000005</c:v>
                </c:pt>
                <c:pt idx="135">
                  <c:v>58.676000000000002</c:v>
                </c:pt>
                <c:pt idx="136">
                  <c:v>58.784000000000006</c:v>
                </c:pt>
                <c:pt idx="137">
                  <c:v>58.910000000000004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'Global Temp'!$G$6</c:f>
              <c:strCache>
                <c:ptCount val="1"/>
                <c:pt idx="0">
                  <c:v>1951-1980 Average Temperature = 57.2°F</c:v>
                </c:pt>
              </c:strCache>
            </c:strRef>
          </c:tx>
          <c:spPr>
            <a:ln w="9525">
              <a:solidFill>
                <a:schemeClr val="tx1"/>
              </a:solidFill>
              <a:prstDash val="lgDash"/>
            </a:ln>
          </c:spPr>
          <c:marker>
            <c:symbol val="none"/>
          </c:marker>
          <c:cat>
            <c:numRef>
              <c:f>'Global Temp'!$E$7:$E$144</c:f>
              <c:numCache>
                <c:formatCode>General</c:formatCode>
                <c:ptCount val="138"/>
                <c:pt idx="0">
                  <c:v>1880</c:v>
                </c:pt>
                <c:pt idx="1">
                  <c:v>1881</c:v>
                </c:pt>
                <c:pt idx="2">
                  <c:v>1882</c:v>
                </c:pt>
                <c:pt idx="3">
                  <c:v>1883</c:v>
                </c:pt>
                <c:pt idx="4">
                  <c:v>1884</c:v>
                </c:pt>
                <c:pt idx="5">
                  <c:v>1885</c:v>
                </c:pt>
                <c:pt idx="6">
                  <c:v>1886</c:v>
                </c:pt>
                <c:pt idx="7">
                  <c:v>1887</c:v>
                </c:pt>
                <c:pt idx="8">
                  <c:v>1888</c:v>
                </c:pt>
                <c:pt idx="9">
                  <c:v>1889</c:v>
                </c:pt>
                <c:pt idx="10">
                  <c:v>1890</c:v>
                </c:pt>
                <c:pt idx="11">
                  <c:v>1891</c:v>
                </c:pt>
                <c:pt idx="12">
                  <c:v>1892</c:v>
                </c:pt>
                <c:pt idx="13">
                  <c:v>1893</c:v>
                </c:pt>
                <c:pt idx="14">
                  <c:v>1894</c:v>
                </c:pt>
                <c:pt idx="15">
                  <c:v>1895</c:v>
                </c:pt>
                <c:pt idx="16">
                  <c:v>1896</c:v>
                </c:pt>
                <c:pt idx="17">
                  <c:v>1897</c:v>
                </c:pt>
                <c:pt idx="18">
                  <c:v>1898</c:v>
                </c:pt>
                <c:pt idx="19">
                  <c:v>1899</c:v>
                </c:pt>
                <c:pt idx="20">
                  <c:v>1900</c:v>
                </c:pt>
                <c:pt idx="21">
                  <c:v>1901</c:v>
                </c:pt>
                <c:pt idx="22">
                  <c:v>1902</c:v>
                </c:pt>
                <c:pt idx="23">
                  <c:v>1903</c:v>
                </c:pt>
                <c:pt idx="24">
                  <c:v>1904</c:v>
                </c:pt>
                <c:pt idx="25">
                  <c:v>1905</c:v>
                </c:pt>
                <c:pt idx="26">
                  <c:v>1906</c:v>
                </c:pt>
                <c:pt idx="27">
                  <c:v>1907</c:v>
                </c:pt>
                <c:pt idx="28">
                  <c:v>1908</c:v>
                </c:pt>
                <c:pt idx="29">
                  <c:v>1909</c:v>
                </c:pt>
                <c:pt idx="30">
                  <c:v>1910</c:v>
                </c:pt>
                <c:pt idx="31">
                  <c:v>1911</c:v>
                </c:pt>
                <c:pt idx="32">
                  <c:v>1912</c:v>
                </c:pt>
                <c:pt idx="33">
                  <c:v>1913</c:v>
                </c:pt>
                <c:pt idx="34">
                  <c:v>1914</c:v>
                </c:pt>
                <c:pt idx="35">
                  <c:v>1915</c:v>
                </c:pt>
                <c:pt idx="36">
                  <c:v>1916</c:v>
                </c:pt>
                <c:pt idx="37">
                  <c:v>1917</c:v>
                </c:pt>
                <c:pt idx="38">
                  <c:v>1918</c:v>
                </c:pt>
                <c:pt idx="39">
                  <c:v>1919</c:v>
                </c:pt>
                <c:pt idx="40">
                  <c:v>1920</c:v>
                </c:pt>
                <c:pt idx="41">
                  <c:v>1921</c:v>
                </c:pt>
                <c:pt idx="42">
                  <c:v>1922</c:v>
                </c:pt>
                <c:pt idx="43">
                  <c:v>1923</c:v>
                </c:pt>
                <c:pt idx="44">
                  <c:v>1924</c:v>
                </c:pt>
                <c:pt idx="45">
                  <c:v>1925</c:v>
                </c:pt>
                <c:pt idx="46">
                  <c:v>1926</c:v>
                </c:pt>
                <c:pt idx="47">
                  <c:v>1927</c:v>
                </c:pt>
                <c:pt idx="48">
                  <c:v>1928</c:v>
                </c:pt>
                <c:pt idx="49">
                  <c:v>1929</c:v>
                </c:pt>
                <c:pt idx="50">
                  <c:v>1930</c:v>
                </c:pt>
                <c:pt idx="51">
                  <c:v>1931</c:v>
                </c:pt>
                <c:pt idx="52">
                  <c:v>1932</c:v>
                </c:pt>
                <c:pt idx="53">
                  <c:v>1933</c:v>
                </c:pt>
                <c:pt idx="54">
                  <c:v>1934</c:v>
                </c:pt>
                <c:pt idx="55">
                  <c:v>1935</c:v>
                </c:pt>
                <c:pt idx="56">
                  <c:v>1936</c:v>
                </c:pt>
                <c:pt idx="57">
                  <c:v>1937</c:v>
                </c:pt>
                <c:pt idx="58">
                  <c:v>1938</c:v>
                </c:pt>
                <c:pt idx="59">
                  <c:v>1939</c:v>
                </c:pt>
                <c:pt idx="60">
                  <c:v>1940</c:v>
                </c:pt>
                <c:pt idx="61">
                  <c:v>1941</c:v>
                </c:pt>
                <c:pt idx="62">
                  <c:v>1942</c:v>
                </c:pt>
                <c:pt idx="63">
                  <c:v>1943</c:v>
                </c:pt>
                <c:pt idx="64">
                  <c:v>1944</c:v>
                </c:pt>
                <c:pt idx="65">
                  <c:v>1945</c:v>
                </c:pt>
                <c:pt idx="66">
                  <c:v>1946</c:v>
                </c:pt>
                <c:pt idx="67">
                  <c:v>1947</c:v>
                </c:pt>
                <c:pt idx="68">
                  <c:v>1948</c:v>
                </c:pt>
                <c:pt idx="69">
                  <c:v>1949</c:v>
                </c:pt>
                <c:pt idx="70">
                  <c:v>1950</c:v>
                </c:pt>
                <c:pt idx="71">
                  <c:v>1951</c:v>
                </c:pt>
                <c:pt idx="72">
                  <c:v>1952</c:v>
                </c:pt>
                <c:pt idx="73">
                  <c:v>1953</c:v>
                </c:pt>
                <c:pt idx="74">
                  <c:v>1954</c:v>
                </c:pt>
                <c:pt idx="75">
                  <c:v>1955</c:v>
                </c:pt>
                <c:pt idx="76">
                  <c:v>1956</c:v>
                </c:pt>
                <c:pt idx="77">
                  <c:v>1957</c:v>
                </c:pt>
                <c:pt idx="78">
                  <c:v>1958</c:v>
                </c:pt>
                <c:pt idx="79">
                  <c:v>1959</c:v>
                </c:pt>
                <c:pt idx="80">
                  <c:v>1960</c:v>
                </c:pt>
                <c:pt idx="81">
                  <c:v>1961</c:v>
                </c:pt>
                <c:pt idx="82">
                  <c:v>1962</c:v>
                </c:pt>
                <c:pt idx="83">
                  <c:v>1963</c:v>
                </c:pt>
                <c:pt idx="84">
                  <c:v>1964</c:v>
                </c:pt>
                <c:pt idx="85">
                  <c:v>1965</c:v>
                </c:pt>
                <c:pt idx="86">
                  <c:v>1966</c:v>
                </c:pt>
                <c:pt idx="87">
                  <c:v>1967</c:v>
                </c:pt>
                <c:pt idx="88">
                  <c:v>1968</c:v>
                </c:pt>
                <c:pt idx="89">
                  <c:v>1969</c:v>
                </c:pt>
                <c:pt idx="90">
                  <c:v>1970</c:v>
                </c:pt>
                <c:pt idx="91">
                  <c:v>1971</c:v>
                </c:pt>
                <c:pt idx="92">
                  <c:v>1972</c:v>
                </c:pt>
                <c:pt idx="93">
                  <c:v>1973</c:v>
                </c:pt>
                <c:pt idx="94">
                  <c:v>1974</c:v>
                </c:pt>
                <c:pt idx="95">
                  <c:v>1975</c:v>
                </c:pt>
                <c:pt idx="96">
                  <c:v>1976</c:v>
                </c:pt>
                <c:pt idx="97">
                  <c:v>1977</c:v>
                </c:pt>
                <c:pt idx="98">
                  <c:v>1978</c:v>
                </c:pt>
                <c:pt idx="99">
                  <c:v>1979</c:v>
                </c:pt>
                <c:pt idx="100">
                  <c:v>1980</c:v>
                </c:pt>
                <c:pt idx="101">
                  <c:v>1981</c:v>
                </c:pt>
                <c:pt idx="102">
                  <c:v>1982</c:v>
                </c:pt>
                <c:pt idx="103">
                  <c:v>1983</c:v>
                </c:pt>
                <c:pt idx="104">
                  <c:v>1984</c:v>
                </c:pt>
                <c:pt idx="105">
                  <c:v>1985</c:v>
                </c:pt>
                <c:pt idx="106">
                  <c:v>1986</c:v>
                </c:pt>
                <c:pt idx="107">
                  <c:v>1987</c:v>
                </c:pt>
                <c:pt idx="108">
                  <c:v>1988</c:v>
                </c:pt>
                <c:pt idx="109">
                  <c:v>1989</c:v>
                </c:pt>
                <c:pt idx="110">
                  <c:v>1990</c:v>
                </c:pt>
                <c:pt idx="111">
                  <c:v>1991</c:v>
                </c:pt>
                <c:pt idx="112">
                  <c:v>1992</c:v>
                </c:pt>
                <c:pt idx="113">
                  <c:v>1993</c:v>
                </c:pt>
                <c:pt idx="114">
                  <c:v>1994</c:v>
                </c:pt>
                <c:pt idx="115">
                  <c:v>1995</c:v>
                </c:pt>
                <c:pt idx="116">
                  <c:v>1996</c:v>
                </c:pt>
                <c:pt idx="117">
                  <c:v>1997</c:v>
                </c:pt>
                <c:pt idx="118">
                  <c:v>1998</c:v>
                </c:pt>
                <c:pt idx="119">
                  <c:v>1999</c:v>
                </c:pt>
                <c:pt idx="120">
                  <c:v>2000</c:v>
                </c:pt>
                <c:pt idx="121">
                  <c:v>2001</c:v>
                </c:pt>
                <c:pt idx="122">
                  <c:v>2002</c:v>
                </c:pt>
                <c:pt idx="123">
                  <c:v>2003</c:v>
                </c:pt>
                <c:pt idx="124">
                  <c:v>2004</c:v>
                </c:pt>
                <c:pt idx="125">
                  <c:v>2005</c:v>
                </c:pt>
                <c:pt idx="126">
                  <c:v>2006</c:v>
                </c:pt>
                <c:pt idx="127">
                  <c:v>2007</c:v>
                </c:pt>
                <c:pt idx="128">
                  <c:v>2008</c:v>
                </c:pt>
                <c:pt idx="129">
                  <c:v>2009</c:v>
                </c:pt>
                <c:pt idx="130">
                  <c:v>2010</c:v>
                </c:pt>
                <c:pt idx="131">
                  <c:v>2011</c:v>
                </c:pt>
                <c:pt idx="132">
                  <c:v>2012</c:v>
                </c:pt>
                <c:pt idx="133">
                  <c:v>2013</c:v>
                </c:pt>
                <c:pt idx="134">
                  <c:v>2014</c:v>
                </c:pt>
                <c:pt idx="135">
                  <c:v>2015</c:v>
                </c:pt>
                <c:pt idx="136">
                  <c:v>2016</c:v>
                </c:pt>
                <c:pt idx="137">
                  <c:v>2017</c:v>
                </c:pt>
              </c:numCache>
            </c:numRef>
          </c:cat>
          <c:val>
            <c:numRef>
              <c:f>'Global Temp'!$G$7:$G$144</c:f>
              <c:numCache>
                <c:formatCode>General</c:formatCode>
                <c:ptCount val="138"/>
                <c:pt idx="0">
                  <c:v>57.20000000000001</c:v>
                </c:pt>
                <c:pt idx="1">
                  <c:v>57.20000000000001</c:v>
                </c:pt>
                <c:pt idx="2">
                  <c:v>57.20000000000001</c:v>
                </c:pt>
                <c:pt idx="3">
                  <c:v>57.20000000000001</c:v>
                </c:pt>
                <c:pt idx="4">
                  <c:v>57.20000000000001</c:v>
                </c:pt>
                <c:pt idx="5">
                  <c:v>57.20000000000001</c:v>
                </c:pt>
                <c:pt idx="6">
                  <c:v>57.20000000000001</c:v>
                </c:pt>
                <c:pt idx="7">
                  <c:v>57.20000000000001</c:v>
                </c:pt>
                <c:pt idx="8">
                  <c:v>57.20000000000001</c:v>
                </c:pt>
                <c:pt idx="9">
                  <c:v>57.20000000000001</c:v>
                </c:pt>
                <c:pt idx="10">
                  <c:v>57.20000000000001</c:v>
                </c:pt>
                <c:pt idx="11">
                  <c:v>57.20000000000001</c:v>
                </c:pt>
                <c:pt idx="12">
                  <c:v>57.20000000000001</c:v>
                </c:pt>
                <c:pt idx="13">
                  <c:v>57.20000000000001</c:v>
                </c:pt>
                <c:pt idx="14">
                  <c:v>57.20000000000001</c:v>
                </c:pt>
                <c:pt idx="15">
                  <c:v>57.20000000000001</c:v>
                </c:pt>
                <c:pt idx="16">
                  <c:v>57.20000000000001</c:v>
                </c:pt>
                <c:pt idx="17">
                  <c:v>57.20000000000001</c:v>
                </c:pt>
                <c:pt idx="18">
                  <c:v>57.20000000000001</c:v>
                </c:pt>
                <c:pt idx="19">
                  <c:v>57.20000000000001</c:v>
                </c:pt>
                <c:pt idx="20">
                  <c:v>57.20000000000001</c:v>
                </c:pt>
                <c:pt idx="21">
                  <c:v>57.20000000000001</c:v>
                </c:pt>
                <c:pt idx="22">
                  <c:v>57.20000000000001</c:v>
                </c:pt>
                <c:pt idx="23">
                  <c:v>57.20000000000001</c:v>
                </c:pt>
                <c:pt idx="24">
                  <c:v>57.20000000000001</c:v>
                </c:pt>
                <c:pt idx="25">
                  <c:v>57.20000000000001</c:v>
                </c:pt>
                <c:pt idx="26">
                  <c:v>57.20000000000001</c:v>
                </c:pt>
                <c:pt idx="27">
                  <c:v>57.20000000000001</c:v>
                </c:pt>
                <c:pt idx="28">
                  <c:v>57.20000000000001</c:v>
                </c:pt>
                <c:pt idx="29">
                  <c:v>57.20000000000001</c:v>
                </c:pt>
                <c:pt idx="30">
                  <c:v>57.20000000000001</c:v>
                </c:pt>
                <c:pt idx="31">
                  <c:v>57.20000000000001</c:v>
                </c:pt>
                <c:pt idx="32">
                  <c:v>57.20000000000001</c:v>
                </c:pt>
                <c:pt idx="33">
                  <c:v>57.20000000000001</c:v>
                </c:pt>
                <c:pt idx="34">
                  <c:v>57.20000000000001</c:v>
                </c:pt>
                <c:pt idx="35">
                  <c:v>57.20000000000001</c:v>
                </c:pt>
                <c:pt idx="36">
                  <c:v>57.20000000000001</c:v>
                </c:pt>
                <c:pt idx="37">
                  <c:v>57.20000000000001</c:v>
                </c:pt>
                <c:pt idx="38">
                  <c:v>57.20000000000001</c:v>
                </c:pt>
                <c:pt idx="39">
                  <c:v>57.20000000000001</c:v>
                </c:pt>
                <c:pt idx="40">
                  <c:v>57.20000000000001</c:v>
                </c:pt>
                <c:pt idx="41">
                  <c:v>57.20000000000001</c:v>
                </c:pt>
                <c:pt idx="42">
                  <c:v>57.20000000000001</c:v>
                </c:pt>
                <c:pt idx="43">
                  <c:v>57.20000000000001</c:v>
                </c:pt>
                <c:pt idx="44">
                  <c:v>57.20000000000001</c:v>
                </c:pt>
                <c:pt idx="45">
                  <c:v>57.20000000000001</c:v>
                </c:pt>
                <c:pt idx="46">
                  <c:v>57.20000000000001</c:v>
                </c:pt>
                <c:pt idx="47">
                  <c:v>57.20000000000001</c:v>
                </c:pt>
                <c:pt idx="48">
                  <c:v>57.20000000000001</c:v>
                </c:pt>
                <c:pt idx="49">
                  <c:v>57.20000000000001</c:v>
                </c:pt>
                <c:pt idx="50">
                  <c:v>57.20000000000001</c:v>
                </c:pt>
                <c:pt idx="51">
                  <c:v>57.20000000000001</c:v>
                </c:pt>
                <c:pt idx="52">
                  <c:v>57.20000000000001</c:v>
                </c:pt>
                <c:pt idx="53">
                  <c:v>57.20000000000001</c:v>
                </c:pt>
                <c:pt idx="54">
                  <c:v>57.20000000000001</c:v>
                </c:pt>
                <c:pt idx="55">
                  <c:v>57.20000000000001</c:v>
                </c:pt>
                <c:pt idx="56">
                  <c:v>57.20000000000001</c:v>
                </c:pt>
                <c:pt idx="57">
                  <c:v>57.20000000000001</c:v>
                </c:pt>
                <c:pt idx="58">
                  <c:v>57.20000000000001</c:v>
                </c:pt>
                <c:pt idx="59">
                  <c:v>57.20000000000001</c:v>
                </c:pt>
                <c:pt idx="60">
                  <c:v>57.20000000000001</c:v>
                </c:pt>
                <c:pt idx="61">
                  <c:v>57.20000000000001</c:v>
                </c:pt>
                <c:pt idx="62">
                  <c:v>57.20000000000001</c:v>
                </c:pt>
                <c:pt idx="63">
                  <c:v>57.20000000000001</c:v>
                </c:pt>
                <c:pt idx="64">
                  <c:v>57.20000000000001</c:v>
                </c:pt>
                <c:pt idx="65">
                  <c:v>57.20000000000001</c:v>
                </c:pt>
                <c:pt idx="66">
                  <c:v>57.20000000000001</c:v>
                </c:pt>
                <c:pt idx="67">
                  <c:v>57.20000000000001</c:v>
                </c:pt>
                <c:pt idx="68">
                  <c:v>57.20000000000001</c:v>
                </c:pt>
                <c:pt idx="69">
                  <c:v>57.20000000000001</c:v>
                </c:pt>
                <c:pt idx="70">
                  <c:v>57.20000000000001</c:v>
                </c:pt>
                <c:pt idx="71">
                  <c:v>57.20000000000001</c:v>
                </c:pt>
                <c:pt idx="72">
                  <c:v>57.20000000000001</c:v>
                </c:pt>
                <c:pt idx="73">
                  <c:v>57.20000000000001</c:v>
                </c:pt>
                <c:pt idx="74">
                  <c:v>57.20000000000001</c:v>
                </c:pt>
                <c:pt idx="75">
                  <c:v>57.20000000000001</c:v>
                </c:pt>
                <c:pt idx="76">
                  <c:v>57.20000000000001</c:v>
                </c:pt>
                <c:pt idx="77">
                  <c:v>57.20000000000001</c:v>
                </c:pt>
                <c:pt idx="78">
                  <c:v>57.20000000000001</c:v>
                </c:pt>
                <c:pt idx="79">
                  <c:v>57.20000000000001</c:v>
                </c:pt>
                <c:pt idx="80">
                  <c:v>57.20000000000001</c:v>
                </c:pt>
                <c:pt idx="81">
                  <c:v>57.20000000000001</c:v>
                </c:pt>
                <c:pt idx="82">
                  <c:v>57.20000000000001</c:v>
                </c:pt>
                <c:pt idx="83">
                  <c:v>57.20000000000001</c:v>
                </c:pt>
                <c:pt idx="84">
                  <c:v>57.20000000000001</c:v>
                </c:pt>
                <c:pt idx="85">
                  <c:v>57.20000000000001</c:v>
                </c:pt>
                <c:pt idx="86">
                  <c:v>57.20000000000001</c:v>
                </c:pt>
                <c:pt idx="87">
                  <c:v>57.20000000000001</c:v>
                </c:pt>
                <c:pt idx="88">
                  <c:v>57.20000000000001</c:v>
                </c:pt>
                <c:pt idx="89">
                  <c:v>57.20000000000001</c:v>
                </c:pt>
                <c:pt idx="90">
                  <c:v>57.20000000000001</c:v>
                </c:pt>
                <c:pt idx="91">
                  <c:v>57.20000000000001</c:v>
                </c:pt>
                <c:pt idx="92">
                  <c:v>57.20000000000001</c:v>
                </c:pt>
                <c:pt idx="93">
                  <c:v>57.20000000000001</c:v>
                </c:pt>
                <c:pt idx="94">
                  <c:v>57.20000000000001</c:v>
                </c:pt>
                <c:pt idx="95">
                  <c:v>57.20000000000001</c:v>
                </c:pt>
                <c:pt idx="96">
                  <c:v>57.20000000000001</c:v>
                </c:pt>
                <c:pt idx="97">
                  <c:v>57.20000000000001</c:v>
                </c:pt>
                <c:pt idx="98">
                  <c:v>57.20000000000001</c:v>
                </c:pt>
                <c:pt idx="99">
                  <c:v>57.20000000000001</c:v>
                </c:pt>
                <c:pt idx="100">
                  <c:v>57.20000000000001</c:v>
                </c:pt>
                <c:pt idx="101">
                  <c:v>57.20000000000001</c:v>
                </c:pt>
                <c:pt idx="102">
                  <c:v>57.20000000000001</c:v>
                </c:pt>
                <c:pt idx="103">
                  <c:v>57.20000000000001</c:v>
                </c:pt>
                <c:pt idx="104">
                  <c:v>57.20000000000001</c:v>
                </c:pt>
                <c:pt idx="105">
                  <c:v>57.20000000000001</c:v>
                </c:pt>
                <c:pt idx="106">
                  <c:v>57.20000000000001</c:v>
                </c:pt>
                <c:pt idx="107">
                  <c:v>57.20000000000001</c:v>
                </c:pt>
                <c:pt idx="108">
                  <c:v>57.20000000000001</c:v>
                </c:pt>
                <c:pt idx="109">
                  <c:v>57.20000000000001</c:v>
                </c:pt>
                <c:pt idx="110">
                  <c:v>57.20000000000001</c:v>
                </c:pt>
                <c:pt idx="111">
                  <c:v>57.20000000000001</c:v>
                </c:pt>
                <c:pt idx="112">
                  <c:v>57.20000000000001</c:v>
                </c:pt>
                <c:pt idx="113">
                  <c:v>57.20000000000001</c:v>
                </c:pt>
                <c:pt idx="114">
                  <c:v>57.20000000000001</c:v>
                </c:pt>
                <c:pt idx="115">
                  <c:v>57.20000000000001</c:v>
                </c:pt>
                <c:pt idx="116">
                  <c:v>57.20000000000001</c:v>
                </c:pt>
                <c:pt idx="117">
                  <c:v>57.20000000000001</c:v>
                </c:pt>
                <c:pt idx="118">
                  <c:v>57.20000000000001</c:v>
                </c:pt>
                <c:pt idx="119">
                  <c:v>57.20000000000001</c:v>
                </c:pt>
                <c:pt idx="120">
                  <c:v>57.20000000000001</c:v>
                </c:pt>
                <c:pt idx="121">
                  <c:v>57.20000000000001</c:v>
                </c:pt>
                <c:pt idx="122">
                  <c:v>57.20000000000001</c:v>
                </c:pt>
                <c:pt idx="123">
                  <c:v>57.20000000000001</c:v>
                </c:pt>
                <c:pt idx="124">
                  <c:v>57.20000000000001</c:v>
                </c:pt>
                <c:pt idx="125">
                  <c:v>57.20000000000001</c:v>
                </c:pt>
                <c:pt idx="126">
                  <c:v>57.20000000000001</c:v>
                </c:pt>
                <c:pt idx="127">
                  <c:v>57.20000000000001</c:v>
                </c:pt>
                <c:pt idx="128">
                  <c:v>57.20000000000001</c:v>
                </c:pt>
                <c:pt idx="129">
                  <c:v>57.20000000000001</c:v>
                </c:pt>
                <c:pt idx="130">
                  <c:v>57.20000000000001</c:v>
                </c:pt>
                <c:pt idx="131">
                  <c:v>57.20000000000001</c:v>
                </c:pt>
                <c:pt idx="132">
                  <c:v>57.20000000000001</c:v>
                </c:pt>
                <c:pt idx="133">
                  <c:v>57.20000000000001</c:v>
                </c:pt>
                <c:pt idx="134">
                  <c:v>57.20000000000001</c:v>
                </c:pt>
                <c:pt idx="135">
                  <c:v>57.20000000000001</c:v>
                </c:pt>
                <c:pt idx="136">
                  <c:v>57.20000000000001</c:v>
                </c:pt>
                <c:pt idx="137">
                  <c:v>57.20000000000001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60928"/>
        <c:axId val="98062720"/>
      </c:lineChart>
      <c:catAx>
        <c:axId val="9806092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806272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62720"/>
        <c:scaling>
          <c:orientation val="minMax"/>
          <c:max val="60"/>
          <c:min val="56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2000"/>
                </a:pPr>
                <a:r>
                  <a:rPr lang="en-US" sz="2000"/>
                  <a:t>Temperture in Farenheit</a:t>
                </a:r>
              </a:p>
            </c:rich>
          </c:tx>
          <c:layout>
            <c:manualLayout>
              <c:xMode val="edge"/>
              <c:yMode val="edge"/>
              <c:x val="6.9462968608116963E-4"/>
              <c:y val="0.3732432991330629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8060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563010288206682"/>
          <c:y val="0.22217513719875925"/>
          <c:w val="0.64549923709622625"/>
          <c:h val="0.31720353137675972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3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3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143" workbookViewId="0" zoomToFit="1"/>
  </sheetViews>
  <pageMargins left="0.7" right="0.7" top="0.75" bottom="0.75" header="0.3" footer="0.3"/>
  <pageSetup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tabSelected="1" zoomScale="143" workbookViewId="0" zoomToFit="1"/>
  </sheetViews>
  <pageMargins left="0.7" right="0.7" top="0.75" bottom="0.75" header="0.3" footer="0.3"/>
  <pageSetup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143" workbookViewId="0" zoomToFit="1"/>
  </sheetViews>
  <pageMargins left="0.7" right="0.7" top="0.75" bottom="0.75" header="0.3" footer="0.3"/>
  <pageSetup orientation="landscape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zoomScale="143" workbookViewId="0" zoomToFit="1"/>
  </sheetViews>
  <pageMargins left="0.7" right="0.7" top="0.75" bottom="0.75" header="0.3" footer="0.3"/>
  <pageSetup orientation="landscape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/>
  <sheetViews>
    <sheetView zoomScale="73" workbookViewId="0"/>
  </sheetViews>
  <pageMargins left="0.7" right="0.7" top="0.75" bottom="0.75" header="0.3" footer="0.3"/>
  <pageSetup orientation="landscape" r:id="rId1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>
  <sheetPr/>
  <sheetViews>
    <sheetView zoomScale="115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130" cy="629478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9130" cy="629478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413" cy="62944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413" cy="62944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0.12046</cdr:x>
      <cdr:y>0.0751</cdr:y>
    </cdr:from>
    <cdr:to>
      <cdr:x>0.15105</cdr:x>
      <cdr:y>0.11726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43662" y="472294"/>
          <a:ext cx="265027" cy="265148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2413" cy="62944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0.18062</cdr:x>
      <cdr:y>0.17933</cdr:y>
    </cdr:from>
    <cdr:to>
      <cdr:x>0.19621</cdr:x>
      <cdr:y>0.21389</cdr:y>
    </cdr:to>
    <cdr:pic>
      <cdr:nvPicPr>
        <cdr:cNvPr id="3" name="Picture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566074" y="1130215"/>
          <a:ext cx="135172" cy="217816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9130" cy="629478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0.01051</cdr:x>
      <cdr:y>0.04731</cdr:y>
    </cdr:from>
    <cdr:to>
      <cdr:x>0.05445</cdr:x>
      <cdr:y>0.85027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2248726" y="2638008"/>
          <a:ext cx="5060676" cy="3810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900" b="1" i="0" baseline="0">
              <a:effectLst/>
              <a:latin typeface="+mn-lt"/>
              <a:ea typeface="+mn-ea"/>
              <a:cs typeface="+mn-cs"/>
            </a:rPr>
            <a:t>Percentage of Precipitation from Intense Storms</a:t>
          </a:r>
          <a:endParaRPr lang="en-US" sz="1900">
            <a:effectLst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0.17577</cdr:x>
      <cdr:y>0.32934</cdr:y>
    </cdr:from>
    <cdr:to>
      <cdr:x>0.20732</cdr:x>
      <cdr:y>0.37282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523379" y="2071627"/>
          <a:ext cx="273438" cy="273501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3:I133"/>
  <sheetViews>
    <sheetView workbookViewId="0">
      <selection activeCell="D4" sqref="D4"/>
    </sheetView>
  </sheetViews>
  <sheetFormatPr defaultRowHeight="15" x14ac:dyDescent="0.25"/>
  <sheetData>
    <row r="3" spans="4:9" x14ac:dyDescent="0.25">
      <c r="D3" t="s">
        <v>9</v>
      </c>
    </row>
    <row r="4" spans="4:9" x14ac:dyDescent="0.25">
      <c r="D4" t="s">
        <v>3</v>
      </c>
    </row>
    <row r="5" spans="4:9" x14ac:dyDescent="0.25">
      <c r="D5" t="s">
        <v>4</v>
      </c>
    </row>
    <row r="6" spans="4:9" x14ac:dyDescent="0.25">
      <c r="D6" t="s">
        <v>5</v>
      </c>
    </row>
    <row r="7" spans="4:9" x14ac:dyDescent="0.25">
      <c r="D7" t="s">
        <v>0</v>
      </c>
    </row>
    <row r="8" spans="4:9" x14ac:dyDescent="0.25">
      <c r="D8" t="s">
        <v>1</v>
      </c>
    </row>
    <row r="9" spans="4:9" x14ac:dyDescent="0.25">
      <c r="D9" t="s">
        <v>2</v>
      </c>
    </row>
    <row r="10" spans="4:9" x14ac:dyDescent="0.25">
      <c r="D10" t="s">
        <v>6</v>
      </c>
      <c r="E10" t="s">
        <v>7</v>
      </c>
      <c r="I10" t="s">
        <v>12</v>
      </c>
    </row>
    <row r="11" spans="4:9" x14ac:dyDescent="0.25">
      <c r="D11">
        <v>1895</v>
      </c>
      <c r="E11">
        <v>50.1</v>
      </c>
      <c r="F11">
        <v>1895</v>
      </c>
      <c r="G11">
        <f t="array" ref="G11:G133">+LOESS(D11:D133,E11:E133,F11:F133,30)</f>
        <v>50.933918799397333</v>
      </c>
      <c r="I11">
        <f t="shared" ref="I11:I75" si="0">+AVERAGE($E$17:$E$116)</f>
        <v>51.185999999999986</v>
      </c>
    </row>
    <row r="12" spans="4:9" x14ac:dyDescent="0.25">
      <c r="D12">
        <v>1896</v>
      </c>
      <c r="E12">
        <v>51.3</v>
      </c>
      <c r="F12">
        <v>1896</v>
      </c>
      <c r="G12">
        <v>50.886464844716095</v>
      </c>
      <c r="I12">
        <f t="shared" si="0"/>
        <v>51.185999999999986</v>
      </c>
    </row>
    <row r="13" spans="4:9" x14ac:dyDescent="0.25">
      <c r="D13">
        <v>1897</v>
      </c>
      <c r="E13">
        <v>51.1</v>
      </c>
      <c r="F13">
        <v>1897</v>
      </c>
      <c r="G13">
        <v>50.84111119757717</v>
      </c>
      <c r="I13">
        <f t="shared" si="0"/>
        <v>51.185999999999986</v>
      </c>
    </row>
    <row r="14" spans="4:9" x14ac:dyDescent="0.25">
      <c r="D14">
        <v>1898</v>
      </c>
      <c r="E14">
        <v>52.4</v>
      </c>
      <c r="F14">
        <v>1898</v>
      </c>
      <c r="G14">
        <v>50.798249360541128</v>
      </c>
      <c r="I14">
        <f t="shared" si="0"/>
        <v>51.185999999999986</v>
      </c>
    </row>
    <row r="15" spans="4:9" x14ac:dyDescent="0.25">
      <c r="D15">
        <v>1899</v>
      </c>
      <c r="E15">
        <v>50.8</v>
      </c>
      <c r="F15">
        <v>1899</v>
      </c>
      <c r="G15">
        <v>50.758155114740205</v>
      </c>
      <c r="I15">
        <f t="shared" si="0"/>
        <v>51.185999999999986</v>
      </c>
    </row>
    <row r="16" spans="4:9" x14ac:dyDescent="0.25">
      <c r="D16">
        <v>1900</v>
      </c>
      <c r="E16">
        <v>52.2</v>
      </c>
      <c r="F16">
        <v>1900</v>
      </c>
      <c r="G16">
        <v>50.720816848660142</v>
      </c>
      <c r="I16">
        <f t="shared" si="0"/>
        <v>51.185999999999986</v>
      </c>
    </row>
    <row r="17" spans="4:9" x14ac:dyDescent="0.25">
      <c r="D17">
        <v>1901</v>
      </c>
      <c r="E17">
        <v>50.1</v>
      </c>
      <c r="F17">
        <v>1901</v>
      </c>
      <c r="G17">
        <v>50.686028357079131</v>
      </c>
      <c r="I17">
        <f t="shared" si="0"/>
        <v>51.185999999999986</v>
      </c>
    </row>
    <row r="18" spans="4:9" x14ac:dyDescent="0.25">
      <c r="D18">
        <v>1902</v>
      </c>
      <c r="E18">
        <v>50.6</v>
      </c>
      <c r="F18">
        <v>1902</v>
      </c>
      <c r="G18">
        <v>50.653260320250389</v>
      </c>
      <c r="I18">
        <f t="shared" si="0"/>
        <v>51.185999999999986</v>
      </c>
    </row>
    <row r="19" spans="4:9" x14ac:dyDescent="0.25">
      <c r="D19">
        <v>1903</v>
      </c>
      <c r="E19">
        <v>50.4</v>
      </c>
      <c r="F19">
        <v>1903</v>
      </c>
      <c r="G19">
        <v>50.621812724281526</v>
      </c>
      <c r="I19">
        <f t="shared" si="0"/>
        <v>51.185999999999986</v>
      </c>
    </row>
    <row r="20" spans="4:9" x14ac:dyDescent="0.25">
      <c r="D20">
        <v>1904</v>
      </c>
      <c r="E20">
        <v>47.8</v>
      </c>
      <c r="F20">
        <v>1904</v>
      </c>
      <c r="G20">
        <v>50.590750976320614</v>
      </c>
      <c r="I20">
        <f t="shared" si="0"/>
        <v>51.185999999999986</v>
      </c>
    </row>
    <row r="21" spans="4:9" x14ac:dyDescent="0.25">
      <c r="D21">
        <v>1905</v>
      </c>
      <c r="E21">
        <v>49.9</v>
      </c>
      <c r="F21">
        <v>1905</v>
      </c>
      <c r="G21">
        <v>50.558900801384404</v>
      </c>
      <c r="I21">
        <f t="shared" si="0"/>
        <v>51.185999999999986</v>
      </c>
    </row>
    <row r="22" spans="4:9" x14ac:dyDescent="0.25">
      <c r="D22">
        <v>1906</v>
      </c>
      <c r="E22">
        <v>51.5</v>
      </c>
      <c r="F22">
        <v>1906</v>
      </c>
      <c r="G22">
        <v>50.525158266884532</v>
      </c>
      <c r="I22">
        <f t="shared" si="0"/>
        <v>51.185999999999986</v>
      </c>
    </row>
    <row r="23" spans="4:9" x14ac:dyDescent="0.25">
      <c r="D23">
        <v>1907</v>
      </c>
      <c r="E23">
        <v>48.5</v>
      </c>
      <c r="F23">
        <v>1907</v>
      </c>
      <c r="G23">
        <v>50.48822503433064</v>
      </c>
      <c r="I23">
        <f t="shared" si="0"/>
        <v>51.185999999999986</v>
      </c>
    </row>
    <row r="24" spans="4:9" x14ac:dyDescent="0.25">
      <c r="D24">
        <v>1908</v>
      </c>
      <c r="E24">
        <v>51.1</v>
      </c>
      <c r="F24">
        <v>1908</v>
      </c>
      <c r="G24">
        <v>50.446476547392329</v>
      </c>
      <c r="I24">
        <f t="shared" si="0"/>
        <v>51.185999999999986</v>
      </c>
    </row>
    <row r="25" spans="4:9" x14ac:dyDescent="0.25">
      <c r="D25">
        <v>1909</v>
      </c>
      <c r="E25">
        <v>50.4</v>
      </c>
      <c r="F25">
        <v>1909</v>
      </c>
      <c r="G25">
        <v>50.401245077287875</v>
      </c>
      <c r="I25">
        <f t="shared" si="0"/>
        <v>51.185999999999986</v>
      </c>
    </row>
    <row r="26" spans="4:9" x14ac:dyDescent="0.25">
      <c r="D26">
        <v>1910</v>
      </c>
      <c r="E26">
        <v>50.3</v>
      </c>
      <c r="F26">
        <v>1910</v>
      </c>
      <c r="G26">
        <v>50.367927393286855</v>
      </c>
      <c r="I26">
        <f t="shared" si="0"/>
        <v>51.185999999999986</v>
      </c>
    </row>
    <row r="27" spans="4:9" x14ac:dyDescent="0.25">
      <c r="D27">
        <v>1911</v>
      </c>
      <c r="E27">
        <v>51.2</v>
      </c>
      <c r="F27">
        <v>1911</v>
      </c>
      <c r="G27">
        <v>50.397922826629298</v>
      </c>
      <c r="I27">
        <f t="shared" si="0"/>
        <v>51.185999999999986</v>
      </c>
    </row>
    <row r="28" spans="4:9" x14ac:dyDescent="0.25">
      <c r="D28">
        <v>1912</v>
      </c>
      <c r="E28">
        <v>49.8</v>
      </c>
      <c r="F28">
        <v>1912</v>
      </c>
      <c r="G28">
        <v>50.447348565188719</v>
      </c>
      <c r="I28">
        <f t="shared" si="0"/>
        <v>51.185999999999986</v>
      </c>
    </row>
    <row r="29" spans="4:9" x14ac:dyDescent="0.25">
      <c r="D29">
        <v>1913</v>
      </c>
      <c r="E29">
        <v>52.6</v>
      </c>
      <c r="F29">
        <v>1913</v>
      </c>
      <c r="G29">
        <v>50.506304800765065</v>
      </c>
      <c r="I29">
        <f t="shared" si="0"/>
        <v>51.185999999999986</v>
      </c>
    </row>
    <row r="30" spans="4:9" x14ac:dyDescent="0.25">
      <c r="D30">
        <v>1914</v>
      </c>
      <c r="E30">
        <v>49.6</v>
      </c>
      <c r="F30">
        <v>1914</v>
      </c>
      <c r="G30">
        <v>50.563947873736581</v>
      </c>
      <c r="I30">
        <f t="shared" si="0"/>
        <v>51.185999999999986</v>
      </c>
    </row>
    <row r="31" spans="4:9" x14ac:dyDescent="0.25">
      <c r="D31">
        <v>1915</v>
      </c>
      <c r="E31">
        <v>50.8</v>
      </c>
      <c r="F31">
        <v>1915</v>
      </c>
      <c r="G31">
        <v>50.611269181773608</v>
      </c>
      <c r="I31">
        <f t="shared" si="0"/>
        <v>51.185999999999986</v>
      </c>
    </row>
    <row r="32" spans="4:9" x14ac:dyDescent="0.25">
      <c r="D32">
        <v>1916</v>
      </c>
      <c r="E32">
        <v>50</v>
      </c>
      <c r="F32">
        <v>1916</v>
      </c>
      <c r="G32">
        <v>50.64481561213956</v>
      </c>
      <c r="I32">
        <f t="shared" si="0"/>
        <v>51.185999999999986</v>
      </c>
    </row>
    <row r="33" spans="4:9" x14ac:dyDescent="0.25">
      <c r="D33">
        <v>1917</v>
      </c>
      <c r="E33">
        <v>48.4</v>
      </c>
      <c r="F33">
        <v>1917</v>
      </c>
      <c r="G33">
        <v>50.664487134547237</v>
      </c>
      <c r="I33">
        <f t="shared" si="0"/>
        <v>51.185999999999986</v>
      </c>
    </row>
    <row r="34" spans="4:9" x14ac:dyDescent="0.25">
      <c r="D34">
        <v>1918</v>
      </c>
      <c r="E34">
        <v>50.8</v>
      </c>
      <c r="F34">
        <v>1918</v>
      </c>
      <c r="G34">
        <v>50.675842389910969</v>
      </c>
      <c r="I34">
        <f t="shared" si="0"/>
        <v>51.185999999999986</v>
      </c>
    </row>
    <row r="35" spans="4:9" x14ac:dyDescent="0.25">
      <c r="D35">
        <v>1919</v>
      </c>
      <c r="E35">
        <v>52.1</v>
      </c>
      <c r="F35">
        <v>1919</v>
      </c>
      <c r="G35">
        <v>50.691198258366576</v>
      </c>
      <c r="I35">
        <f t="shared" si="0"/>
        <v>51.185999999999986</v>
      </c>
    </row>
    <row r="36" spans="4:9" x14ac:dyDescent="0.25">
      <c r="D36">
        <v>1920</v>
      </c>
      <c r="E36">
        <v>50.2</v>
      </c>
      <c r="F36">
        <v>1920</v>
      </c>
      <c r="G36">
        <v>50.718034247057638</v>
      </c>
      <c r="I36">
        <f t="shared" si="0"/>
        <v>51.185999999999986</v>
      </c>
    </row>
    <row r="37" spans="4:9" x14ac:dyDescent="0.25">
      <c r="D37">
        <v>1921</v>
      </c>
      <c r="E37">
        <v>53.1</v>
      </c>
      <c r="F37">
        <v>1921</v>
      </c>
      <c r="G37">
        <v>50.757997285325551</v>
      </c>
      <c r="I37">
        <f t="shared" si="0"/>
        <v>51.185999999999986</v>
      </c>
    </row>
    <row r="38" spans="4:9" x14ac:dyDescent="0.25">
      <c r="D38">
        <v>1922</v>
      </c>
      <c r="E38">
        <v>51.6</v>
      </c>
      <c r="F38">
        <v>1922</v>
      </c>
      <c r="G38">
        <v>50.810689925829962</v>
      </c>
      <c r="I38">
        <f t="shared" si="0"/>
        <v>51.185999999999986</v>
      </c>
    </row>
    <row r="39" spans="4:9" x14ac:dyDescent="0.25">
      <c r="D39">
        <v>1923</v>
      </c>
      <c r="E39">
        <v>51</v>
      </c>
      <c r="F39">
        <v>1923</v>
      </c>
      <c r="G39">
        <v>50.86995514623802</v>
      </c>
      <c r="I39">
        <f t="shared" si="0"/>
        <v>51.185999999999986</v>
      </c>
    </row>
    <row r="40" spans="4:9" x14ac:dyDescent="0.25">
      <c r="D40">
        <v>1924</v>
      </c>
      <c r="E40">
        <v>49.4</v>
      </c>
      <c r="F40">
        <v>1924</v>
      </c>
      <c r="G40">
        <v>50.929557943032812</v>
      </c>
      <c r="I40">
        <f t="shared" si="0"/>
        <v>51.185999999999986</v>
      </c>
    </row>
    <row r="41" spans="4:9" x14ac:dyDescent="0.25">
      <c r="D41">
        <v>1925</v>
      </c>
      <c r="E41">
        <v>50.7</v>
      </c>
      <c r="F41">
        <v>1925</v>
      </c>
      <c r="G41">
        <v>50.985388843590364</v>
      </c>
      <c r="I41">
        <f t="shared" si="0"/>
        <v>51.185999999999986</v>
      </c>
    </row>
    <row r="42" spans="4:9" x14ac:dyDescent="0.25">
      <c r="D42">
        <v>1926</v>
      </c>
      <c r="E42">
        <v>48.9</v>
      </c>
      <c r="F42">
        <v>1926</v>
      </c>
      <c r="G42">
        <v>51.035404282346356</v>
      </c>
      <c r="I42">
        <f t="shared" si="0"/>
        <v>51.185999999999986</v>
      </c>
    </row>
    <row r="43" spans="4:9" x14ac:dyDescent="0.25">
      <c r="D43">
        <v>1927</v>
      </c>
      <c r="E43">
        <v>51</v>
      </c>
      <c r="F43">
        <v>1927</v>
      </c>
      <c r="G43">
        <v>51.077168357330123</v>
      </c>
      <c r="I43">
        <f t="shared" si="0"/>
        <v>51.185999999999986</v>
      </c>
    </row>
    <row r="44" spans="4:9" x14ac:dyDescent="0.25">
      <c r="D44">
        <v>1928</v>
      </c>
      <c r="E44">
        <v>50.9</v>
      </c>
      <c r="F44">
        <v>1928</v>
      </c>
      <c r="G44">
        <v>51.104139527667591</v>
      </c>
      <c r="I44">
        <f t="shared" si="0"/>
        <v>51.185999999999986</v>
      </c>
    </row>
    <row r="45" spans="4:9" x14ac:dyDescent="0.25">
      <c r="D45">
        <v>1929</v>
      </c>
      <c r="E45">
        <v>51.1</v>
      </c>
      <c r="F45">
        <v>1929</v>
      </c>
      <c r="G45">
        <v>51.117119402045397</v>
      </c>
      <c r="I45">
        <f t="shared" si="0"/>
        <v>51.185999999999986</v>
      </c>
    </row>
    <row r="46" spans="4:9" x14ac:dyDescent="0.25">
      <c r="D46">
        <v>1930</v>
      </c>
      <c r="E46">
        <v>51.7</v>
      </c>
      <c r="F46">
        <v>1930</v>
      </c>
      <c r="G46">
        <v>51.120357431582434</v>
      </c>
      <c r="I46">
        <f t="shared" si="0"/>
        <v>51.185999999999986</v>
      </c>
    </row>
    <row r="47" spans="4:9" x14ac:dyDescent="0.25">
      <c r="D47">
        <v>1931</v>
      </c>
      <c r="E47">
        <v>53.2</v>
      </c>
      <c r="F47">
        <v>1931</v>
      </c>
      <c r="G47">
        <v>51.121001446660728</v>
      </c>
      <c r="I47">
        <f t="shared" si="0"/>
        <v>51.185999999999986</v>
      </c>
    </row>
    <row r="48" spans="4:9" x14ac:dyDescent="0.25">
      <c r="D48">
        <v>1932</v>
      </c>
      <c r="E48">
        <v>52.1</v>
      </c>
      <c r="F48">
        <v>1932</v>
      </c>
      <c r="G48">
        <v>51.127453537275692</v>
      </c>
      <c r="I48">
        <f t="shared" si="0"/>
        <v>51.185999999999986</v>
      </c>
    </row>
    <row r="49" spans="4:9" x14ac:dyDescent="0.25">
      <c r="D49">
        <v>1933</v>
      </c>
      <c r="E49">
        <v>51.8</v>
      </c>
      <c r="F49">
        <v>1933</v>
      </c>
      <c r="G49">
        <v>51.142328249050856</v>
      </c>
      <c r="I49">
        <f t="shared" si="0"/>
        <v>51.185999999999986</v>
      </c>
    </row>
    <row r="50" spans="4:9" x14ac:dyDescent="0.25">
      <c r="D50">
        <v>1934</v>
      </c>
      <c r="E50">
        <v>50.5</v>
      </c>
      <c r="F50">
        <v>1934</v>
      </c>
      <c r="G50">
        <v>51.16466013918771</v>
      </c>
      <c r="I50">
        <f t="shared" si="0"/>
        <v>51.185999999999986</v>
      </c>
    </row>
    <row r="51" spans="4:9" x14ac:dyDescent="0.25">
      <c r="D51">
        <v>1935</v>
      </c>
      <c r="E51">
        <v>50.4</v>
      </c>
      <c r="F51">
        <v>1935</v>
      </c>
      <c r="G51">
        <v>51.190227035336029</v>
      </c>
      <c r="I51">
        <f t="shared" si="0"/>
        <v>51.185999999999986</v>
      </c>
    </row>
    <row r="52" spans="4:9" x14ac:dyDescent="0.25">
      <c r="D52">
        <v>1936</v>
      </c>
      <c r="E52">
        <v>50.9</v>
      </c>
      <c r="F52">
        <v>1936</v>
      </c>
      <c r="G52">
        <v>51.21107112904469</v>
      </c>
      <c r="I52">
        <f t="shared" si="0"/>
        <v>51.185999999999986</v>
      </c>
    </row>
    <row r="53" spans="4:9" x14ac:dyDescent="0.25">
      <c r="D53">
        <v>1937</v>
      </c>
      <c r="E53">
        <v>51.4</v>
      </c>
      <c r="F53">
        <v>1937</v>
      </c>
      <c r="G53">
        <v>51.22417349524062</v>
      </c>
      <c r="I53">
        <f t="shared" si="0"/>
        <v>51.185999999999986</v>
      </c>
    </row>
    <row r="54" spans="4:9" x14ac:dyDescent="0.25">
      <c r="D54">
        <v>1938</v>
      </c>
      <c r="E54">
        <v>52.1</v>
      </c>
      <c r="F54">
        <v>1938</v>
      </c>
      <c r="G54">
        <v>51.228187470648081</v>
      </c>
      <c r="I54">
        <f t="shared" si="0"/>
        <v>51.185999999999986</v>
      </c>
    </row>
    <row r="55" spans="4:9" x14ac:dyDescent="0.25">
      <c r="D55">
        <v>1939</v>
      </c>
      <c r="E55">
        <v>51.7</v>
      </c>
      <c r="F55">
        <v>1939</v>
      </c>
      <c r="G55">
        <v>51.225268350561777</v>
      </c>
      <c r="I55">
        <f t="shared" si="0"/>
        <v>51.185999999999986</v>
      </c>
    </row>
    <row r="56" spans="4:9" x14ac:dyDescent="0.25">
      <c r="D56">
        <v>1940</v>
      </c>
      <c r="E56">
        <v>48.7</v>
      </c>
      <c r="F56">
        <v>1940</v>
      </c>
      <c r="G56">
        <v>51.220036332891759</v>
      </c>
      <c r="I56">
        <f t="shared" si="0"/>
        <v>51.185999999999986</v>
      </c>
    </row>
    <row r="57" spans="4:9" x14ac:dyDescent="0.25">
      <c r="D57">
        <v>1941</v>
      </c>
      <c r="E57">
        <v>51.7</v>
      </c>
      <c r="F57">
        <v>1941</v>
      </c>
      <c r="G57">
        <v>51.220745362154588</v>
      </c>
      <c r="I57">
        <f t="shared" si="0"/>
        <v>51.185999999999986</v>
      </c>
    </row>
    <row r="58" spans="4:9" x14ac:dyDescent="0.25">
      <c r="D58">
        <v>1942</v>
      </c>
      <c r="E58">
        <v>51.2</v>
      </c>
      <c r="F58">
        <v>1942</v>
      </c>
      <c r="G58">
        <v>51.233038326633903</v>
      </c>
      <c r="I58">
        <f t="shared" si="0"/>
        <v>51.185999999999986</v>
      </c>
    </row>
    <row r="59" spans="4:9" x14ac:dyDescent="0.25">
      <c r="D59">
        <v>1943</v>
      </c>
      <c r="E59">
        <v>50.7</v>
      </c>
      <c r="F59">
        <v>1943</v>
      </c>
      <c r="G59">
        <v>51.259009183973426</v>
      </c>
      <c r="I59">
        <f t="shared" si="0"/>
        <v>51.185999999999986</v>
      </c>
    </row>
    <row r="60" spans="4:9" x14ac:dyDescent="0.25">
      <c r="D60">
        <v>1944</v>
      </c>
      <c r="E60">
        <v>51.2</v>
      </c>
      <c r="F60">
        <v>1944</v>
      </c>
      <c r="G60">
        <v>51.296963994083448</v>
      </c>
      <c r="I60">
        <f t="shared" si="0"/>
        <v>51.185999999999986</v>
      </c>
    </row>
    <row r="61" spans="4:9" x14ac:dyDescent="0.25">
      <c r="D61">
        <v>1945</v>
      </c>
      <c r="E61">
        <v>51</v>
      </c>
      <c r="F61">
        <v>1945</v>
      </c>
      <c r="G61">
        <v>51.342098206085424</v>
      </c>
      <c r="I61">
        <f t="shared" si="0"/>
        <v>51.185999999999986</v>
      </c>
    </row>
    <row r="62" spans="4:9" x14ac:dyDescent="0.25">
      <c r="D62">
        <v>1946</v>
      </c>
      <c r="E62">
        <v>52.2</v>
      </c>
      <c r="F62">
        <v>1946</v>
      </c>
      <c r="G62">
        <v>51.385327693569437</v>
      </c>
      <c r="I62">
        <f t="shared" si="0"/>
        <v>51.185999999999986</v>
      </c>
    </row>
    <row r="63" spans="4:9" x14ac:dyDescent="0.25">
      <c r="D63">
        <v>1947</v>
      </c>
      <c r="E63">
        <v>50.9</v>
      </c>
      <c r="F63">
        <v>1947</v>
      </c>
      <c r="G63">
        <v>51.422357762640331</v>
      </c>
      <c r="I63">
        <f t="shared" si="0"/>
        <v>51.185999999999986</v>
      </c>
    </row>
    <row r="64" spans="4:9" x14ac:dyDescent="0.25">
      <c r="D64">
        <v>1948</v>
      </c>
      <c r="E64">
        <v>50.8</v>
      </c>
      <c r="F64">
        <v>1948</v>
      </c>
      <c r="G64">
        <v>51.450893564308977</v>
      </c>
      <c r="I64">
        <f t="shared" si="0"/>
        <v>51.185999999999986</v>
      </c>
    </row>
    <row r="65" spans="4:9" x14ac:dyDescent="0.25">
      <c r="D65">
        <v>1949</v>
      </c>
      <c r="E65">
        <v>53.3</v>
      </c>
      <c r="F65">
        <v>1949</v>
      </c>
      <c r="G65">
        <v>51.471414680285825</v>
      </c>
      <c r="I65">
        <f t="shared" si="0"/>
        <v>51.185999999999986</v>
      </c>
    </row>
    <row r="66" spans="4:9" x14ac:dyDescent="0.25">
      <c r="D66">
        <v>1950</v>
      </c>
      <c r="E66">
        <v>50.6</v>
      </c>
      <c r="F66">
        <v>1950</v>
      </c>
      <c r="G66">
        <v>51.483516236793257</v>
      </c>
      <c r="I66">
        <f t="shared" si="0"/>
        <v>51.185999999999986</v>
      </c>
    </row>
    <row r="67" spans="4:9" x14ac:dyDescent="0.25">
      <c r="D67">
        <v>1951</v>
      </c>
      <c r="E67">
        <v>51.5</v>
      </c>
      <c r="F67">
        <v>1951</v>
      </c>
      <c r="G67">
        <v>51.48463777153377</v>
      </c>
      <c r="I67">
        <f t="shared" si="0"/>
        <v>51.185999999999986</v>
      </c>
    </row>
    <row r="68" spans="4:9" x14ac:dyDescent="0.25">
      <c r="D68">
        <v>1952</v>
      </c>
      <c r="E68">
        <v>52.1</v>
      </c>
      <c r="F68">
        <v>1952</v>
      </c>
      <c r="G68">
        <v>51.473171491947021</v>
      </c>
      <c r="I68">
        <f t="shared" si="0"/>
        <v>51.185999999999986</v>
      </c>
    </row>
    <row r="69" spans="4:9" x14ac:dyDescent="0.25">
      <c r="D69">
        <v>1953</v>
      </c>
      <c r="E69">
        <v>53.1</v>
      </c>
      <c r="F69">
        <v>1953</v>
      </c>
      <c r="G69">
        <v>51.448306130732561</v>
      </c>
      <c r="I69">
        <f t="shared" si="0"/>
        <v>51.185999999999986</v>
      </c>
    </row>
    <row r="70" spans="4:9" x14ac:dyDescent="0.25">
      <c r="D70">
        <v>1954</v>
      </c>
      <c r="E70">
        <v>51.9</v>
      </c>
      <c r="F70">
        <v>1954</v>
      </c>
      <c r="G70">
        <v>51.411573402885182</v>
      </c>
      <c r="I70">
        <f t="shared" si="0"/>
        <v>51.185999999999986</v>
      </c>
    </row>
    <row r="71" spans="4:9" x14ac:dyDescent="0.25">
      <c r="D71">
        <v>1955</v>
      </c>
      <c r="E71">
        <v>51.7</v>
      </c>
      <c r="F71">
        <v>1955</v>
      </c>
      <c r="G71">
        <v>51.366194346589701</v>
      </c>
      <c r="I71">
        <f t="shared" si="0"/>
        <v>51.185999999999986</v>
      </c>
    </row>
    <row r="72" spans="4:9" x14ac:dyDescent="0.25">
      <c r="D72">
        <v>1956</v>
      </c>
      <c r="E72">
        <v>50.8</v>
      </c>
      <c r="F72">
        <v>1956</v>
      </c>
      <c r="G72">
        <v>51.313044979298738</v>
      </c>
      <c r="I72">
        <f t="shared" si="0"/>
        <v>51.185999999999986</v>
      </c>
    </row>
    <row r="73" spans="4:9" x14ac:dyDescent="0.25">
      <c r="D73">
        <v>1957</v>
      </c>
      <c r="E73">
        <v>52</v>
      </c>
      <c r="F73">
        <v>1957</v>
      </c>
      <c r="G73">
        <v>51.253700563956635</v>
      </c>
      <c r="I73">
        <f t="shared" si="0"/>
        <v>51.185999999999986</v>
      </c>
    </row>
    <row r="74" spans="4:9" x14ac:dyDescent="0.25">
      <c r="D74">
        <v>1958</v>
      </c>
      <c r="E74">
        <v>49.5</v>
      </c>
      <c r="F74">
        <v>1958</v>
      </c>
      <c r="G74">
        <v>51.191485907536382</v>
      </c>
      <c r="I74">
        <f t="shared" si="0"/>
        <v>51.185999999999986</v>
      </c>
    </row>
    <row r="75" spans="4:9" x14ac:dyDescent="0.25">
      <c r="D75">
        <v>1959</v>
      </c>
      <c r="E75">
        <v>52.5</v>
      </c>
      <c r="F75">
        <v>1959</v>
      </c>
      <c r="G75">
        <v>51.129448159030943</v>
      </c>
      <c r="I75">
        <f t="shared" si="0"/>
        <v>51.185999999999986</v>
      </c>
    </row>
    <row r="76" spans="4:9" x14ac:dyDescent="0.25">
      <c r="D76">
        <v>1960</v>
      </c>
      <c r="E76">
        <v>50.6</v>
      </c>
      <c r="F76">
        <v>1960</v>
      </c>
      <c r="G76">
        <v>51.070214336426581</v>
      </c>
      <c r="I76">
        <f t="shared" ref="I76:I133" si="1">+AVERAGE($E$17:$E$116)</f>
        <v>51.185999999999986</v>
      </c>
    </row>
    <row r="77" spans="4:9" x14ac:dyDescent="0.25">
      <c r="D77">
        <v>1961</v>
      </c>
      <c r="E77">
        <v>51</v>
      </c>
      <c r="F77">
        <v>1961</v>
      </c>
      <c r="G77">
        <v>51.017714947205917</v>
      </c>
      <c r="I77">
        <f t="shared" si="1"/>
        <v>51.185999999999986</v>
      </c>
    </row>
    <row r="78" spans="4:9" x14ac:dyDescent="0.25">
      <c r="D78">
        <v>1962</v>
      </c>
      <c r="E78">
        <v>49.9</v>
      </c>
      <c r="F78">
        <v>1962</v>
      </c>
      <c r="G78">
        <v>50.976951045217803</v>
      </c>
      <c r="I78">
        <f t="shared" si="1"/>
        <v>51.185999999999986</v>
      </c>
    </row>
    <row r="79" spans="4:9" x14ac:dyDescent="0.25">
      <c r="D79">
        <v>1963</v>
      </c>
      <c r="E79">
        <v>49.9</v>
      </c>
      <c r="F79">
        <v>1963</v>
      </c>
      <c r="G79">
        <v>50.951139714451486</v>
      </c>
      <c r="I79">
        <f t="shared" si="1"/>
        <v>51.185999999999986</v>
      </c>
    </row>
    <row r="80" spans="4:9" x14ac:dyDescent="0.25">
      <c r="D80">
        <v>1964</v>
      </c>
      <c r="E80">
        <v>51.1</v>
      </c>
      <c r="F80">
        <v>1964</v>
      </c>
      <c r="G80">
        <v>50.939001545098904</v>
      </c>
      <c r="I80">
        <f t="shared" si="1"/>
        <v>51.185999999999986</v>
      </c>
    </row>
    <row r="81" spans="4:9" x14ac:dyDescent="0.25">
      <c r="D81">
        <v>1965</v>
      </c>
      <c r="E81">
        <v>50.8</v>
      </c>
      <c r="F81">
        <v>1965</v>
      </c>
      <c r="G81">
        <v>50.940880690803581</v>
      </c>
      <c r="I81">
        <f t="shared" si="1"/>
        <v>51.185999999999986</v>
      </c>
    </row>
    <row r="82" spans="4:9" x14ac:dyDescent="0.25">
      <c r="D82">
        <v>1966</v>
      </c>
      <c r="E82">
        <v>50.8</v>
      </c>
      <c r="F82">
        <v>1966</v>
      </c>
      <c r="G82">
        <v>50.953819688306339</v>
      </c>
      <c r="I82">
        <f t="shared" si="1"/>
        <v>51.185999999999986</v>
      </c>
    </row>
    <row r="83" spans="4:9" x14ac:dyDescent="0.25">
      <c r="D83">
        <v>1967</v>
      </c>
      <c r="E83">
        <v>50</v>
      </c>
      <c r="F83">
        <v>1967</v>
      </c>
      <c r="G83">
        <v>50.973299165361894</v>
      </c>
      <c r="I83">
        <f t="shared" si="1"/>
        <v>51.185999999999986</v>
      </c>
    </row>
    <row r="84" spans="4:9" x14ac:dyDescent="0.25">
      <c r="D84">
        <v>1968</v>
      </c>
      <c r="E84">
        <v>51</v>
      </c>
      <c r="F84">
        <v>1968</v>
      </c>
      <c r="G84">
        <v>50.995061892474617</v>
      </c>
      <c r="I84">
        <f t="shared" si="1"/>
        <v>51.185999999999986</v>
      </c>
    </row>
    <row r="85" spans="4:9" x14ac:dyDescent="0.25">
      <c r="D85">
        <v>1969</v>
      </c>
      <c r="E85">
        <v>51</v>
      </c>
      <c r="F85">
        <v>1969</v>
      </c>
      <c r="G85">
        <v>51.017421258201473</v>
      </c>
      <c r="I85">
        <f t="shared" si="1"/>
        <v>51.185999999999986</v>
      </c>
    </row>
    <row r="86" spans="4:9" x14ac:dyDescent="0.25">
      <c r="D86">
        <v>1970</v>
      </c>
      <c r="E86">
        <v>51.1</v>
      </c>
      <c r="F86">
        <v>1970</v>
      </c>
      <c r="G86">
        <v>51.040757770899418</v>
      </c>
      <c r="I86">
        <f t="shared" si="1"/>
        <v>51.185999999999986</v>
      </c>
    </row>
    <row r="87" spans="4:9" x14ac:dyDescent="0.25">
      <c r="D87">
        <v>1971</v>
      </c>
      <c r="E87">
        <v>51.6</v>
      </c>
      <c r="F87">
        <v>1971</v>
      </c>
      <c r="G87">
        <v>51.06753589565438</v>
      </c>
      <c r="I87">
        <f t="shared" si="1"/>
        <v>51.185999999999986</v>
      </c>
    </row>
    <row r="88" spans="4:9" x14ac:dyDescent="0.25">
      <c r="D88">
        <v>1972</v>
      </c>
      <c r="E88">
        <v>50.5</v>
      </c>
      <c r="F88">
        <v>1972</v>
      </c>
      <c r="G88">
        <v>51.099548131904498</v>
      </c>
      <c r="I88">
        <f t="shared" si="1"/>
        <v>51.185999999999986</v>
      </c>
    </row>
    <row r="89" spans="4:9" x14ac:dyDescent="0.25">
      <c r="D89">
        <v>1973</v>
      </c>
      <c r="E89">
        <v>52.9</v>
      </c>
      <c r="F89">
        <v>1973</v>
      </c>
      <c r="G89">
        <v>51.13914642691352</v>
      </c>
      <c r="I89">
        <f t="shared" si="1"/>
        <v>51.185999999999986</v>
      </c>
    </row>
    <row r="90" spans="4:9" x14ac:dyDescent="0.25">
      <c r="D90">
        <v>1974</v>
      </c>
      <c r="E90">
        <v>51.7</v>
      </c>
      <c r="F90">
        <v>1974</v>
      </c>
      <c r="G90">
        <v>51.184717582155244</v>
      </c>
      <c r="I90">
        <f t="shared" si="1"/>
        <v>51.185999999999986</v>
      </c>
    </row>
    <row r="91" spans="4:9" x14ac:dyDescent="0.25">
      <c r="D91">
        <v>1975</v>
      </c>
      <c r="E91">
        <v>52.2</v>
      </c>
      <c r="F91">
        <v>1975</v>
      </c>
      <c r="G91">
        <v>51.234318800920413</v>
      </c>
      <c r="I91">
        <f t="shared" si="1"/>
        <v>51.185999999999986</v>
      </c>
    </row>
    <row r="92" spans="4:9" x14ac:dyDescent="0.25">
      <c r="D92">
        <v>1976</v>
      </c>
      <c r="E92">
        <v>50.7</v>
      </c>
      <c r="F92">
        <v>1976</v>
      </c>
      <c r="G92">
        <v>51.284281783008055</v>
      </c>
      <c r="I92">
        <f t="shared" si="1"/>
        <v>51.185999999999986</v>
      </c>
    </row>
    <row r="93" spans="4:9" x14ac:dyDescent="0.25">
      <c r="D93">
        <v>1977</v>
      </c>
      <c r="E93">
        <v>51.3</v>
      </c>
      <c r="F93">
        <v>1977</v>
      </c>
      <c r="G93">
        <v>51.332004374670404</v>
      </c>
      <c r="I93">
        <f t="shared" si="1"/>
        <v>51.185999999999986</v>
      </c>
    </row>
    <row r="94" spans="4:9" x14ac:dyDescent="0.25">
      <c r="D94">
        <v>1978</v>
      </c>
      <c r="E94">
        <v>49.9</v>
      </c>
      <c r="F94">
        <v>1978</v>
      </c>
      <c r="G94">
        <v>51.379661876552085</v>
      </c>
      <c r="I94">
        <f t="shared" si="1"/>
        <v>51.185999999999986</v>
      </c>
    </row>
    <row r="95" spans="4:9" x14ac:dyDescent="0.25">
      <c r="D95">
        <v>1979</v>
      </c>
      <c r="E95">
        <v>51</v>
      </c>
      <c r="F95">
        <v>1979</v>
      </c>
      <c r="G95">
        <v>51.428863054181726</v>
      </c>
      <c r="I95">
        <f t="shared" si="1"/>
        <v>51.185999999999986</v>
      </c>
    </row>
    <row r="96" spans="4:9" x14ac:dyDescent="0.25">
      <c r="D96">
        <v>1980</v>
      </c>
      <c r="E96">
        <v>51.3</v>
      </c>
      <c r="F96">
        <v>1980</v>
      </c>
      <c r="G96">
        <v>51.477781526013281</v>
      </c>
      <c r="I96">
        <f t="shared" si="1"/>
        <v>51.185999999999986</v>
      </c>
    </row>
    <row r="97" spans="4:9" x14ac:dyDescent="0.25">
      <c r="D97">
        <v>1981</v>
      </c>
      <c r="E97">
        <v>51</v>
      </c>
      <c r="F97">
        <v>1981</v>
      </c>
      <c r="G97">
        <v>51.524818037476599</v>
      </c>
      <c r="I97">
        <f t="shared" si="1"/>
        <v>51.185999999999986</v>
      </c>
    </row>
    <row r="98" spans="4:9" x14ac:dyDescent="0.25">
      <c r="D98">
        <v>1982</v>
      </c>
      <c r="E98">
        <v>51.1</v>
      </c>
      <c r="F98">
        <v>1982</v>
      </c>
      <c r="G98">
        <v>51.569829323070103</v>
      </c>
      <c r="I98">
        <f t="shared" si="1"/>
        <v>51.185999999999986</v>
      </c>
    </row>
    <row r="99" spans="4:9" x14ac:dyDescent="0.25">
      <c r="D99">
        <v>1983</v>
      </c>
      <c r="E99">
        <v>52</v>
      </c>
      <c r="F99">
        <v>1983</v>
      </c>
      <c r="G99">
        <v>51.613023650555689</v>
      </c>
      <c r="I99">
        <f t="shared" si="1"/>
        <v>51.185999999999986</v>
      </c>
    </row>
    <row r="100" spans="4:9" x14ac:dyDescent="0.25">
      <c r="D100">
        <v>1984</v>
      </c>
      <c r="E100">
        <v>51.7</v>
      </c>
      <c r="F100">
        <v>1984</v>
      </c>
      <c r="G100">
        <v>51.654260714241751</v>
      </c>
      <c r="I100">
        <f t="shared" si="1"/>
        <v>51.185999999999986</v>
      </c>
    </row>
    <row r="101" spans="4:9" x14ac:dyDescent="0.25">
      <c r="D101">
        <v>1985</v>
      </c>
      <c r="E101">
        <v>52.2</v>
      </c>
      <c r="F101">
        <v>1985</v>
      </c>
      <c r="G101">
        <v>51.695751663521676</v>
      </c>
      <c r="I101">
        <f t="shared" si="1"/>
        <v>51.185999999999986</v>
      </c>
    </row>
    <row r="102" spans="4:9" x14ac:dyDescent="0.25">
      <c r="D102">
        <v>1986</v>
      </c>
      <c r="E102">
        <v>51.9</v>
      </c>
      <c r="F102">
        <v>1986</v>
      </c>
      <c r="G102">
        <v>51.744765684267044</v>
      </c>
      <c r="I102">
        <f t="shared" si="1"/>
        <v>51.185999999999986</v>
      </c>
    </row>
    <row r="103" spans="4:9" x14ac:dyDescent="0.25">
      <c r="D103">
        <v>1987</v>
      </c>
      <c r="E103">
        <v>52.3</v>
      </c>
      <c r="F103">
        <v>1987</v>
      </c>
      <c r="G103">
        <v>51.806450394706722</v>
      </c>
      <c r="I103">
        <f t="shared" si="1"/>
        <v>51.185999999999986</v>
      </c>
    </row>
    <row r="104" spans="4:9" x14ac:dyDescent="0.25">
      <c r="D104">
        <v>1988</v>
      </c>
      <c r="E104">
        <v>51.3</v>
      </c>
      <c r="F104">
        <v>1988</v>
      </c>
      <c r="G104">
        <v>51.877470879443074</v>
      </c>
      <c r="I104">
        <f t="shared" si="1"/>
        <v>51.185999999999986</v>
      </c>
    </row>
    <row r="105" spans="4:9" x14ac:dyDescent="0.25">
      <c r="D105">
        <v>1989</v>
      </c>
      <c r="E105">
        <v>51</v>
      </c>
      <c r="F105">
        <v>1989</v>
      </c>
      <c r="G105">
        <v>51.95385375604063</v>
      </c>
      <c r="I105">
        <f t="shared" si="1"/>
        <v>51.185999999999986</v>
      </c>
    </row>
    <row r="106" spans="4:9" x14ac:dyDescent="0.25">
      <c r="D106">
        <v>1990</v>
      </c>
      <c r="E106">
        <v>54</v>
      </c>
      <c r="F106">
        <v>1990</v>
      </c>
      <c r="G106">
        <v>52.032283551046824</v>
      </c>
      <c r="I106">
        <f t="shared" si="1"/>
        <v>51.185999999999986</v>
      </c>
    </row>
    <row r="107" spans="4:9" x14ac:dyDescent="0.25">
      <c r="D107">
        <v>1991</v>
      </c>
      <c r="E107">
        <v>53.9</v>
      </c>
      <c r="F107">
        <v>1991</v>
      </c>
      <c r="G107">
        <v>52.108718275297562</v>
      </c>
      <c r="I107">
        <f t="shared" si="1"/>
        <v>51.185999999999986</v>
      </c>
    </row>
    <row r="108" spans="4:9" x14ac:dyDescent="0.25">
      <c r="D108">
        <v>1992</v>
      </c>
      <c r="E108">
        <v>50.9</v>
      </c>
      <c r="F108">
        <v>1992</v>
      </c>
      <c r="G108">
        <v>52.179710998283959</v>
      </c>
      <c r="I108">
        <f t="shared" si="1"/>
        <v>51.185999999999986</v>
      </c>
    </row>
    <row r="109" spans="4:9" x14ac:dyDescent="0.25">
      <c r="D109">
        <v>1993</v>
      </c>
      <c r="E109">
        <v>51.8</v>
      </c>
      <c r="F109">
        <v>1993</v>
      </c>
      <c r="G109">
        <v>52.245141964124869</v>
      </c>
      <c r="I109">
        <f t="shared" si="1"/>
        <v>51.185999999999986</v>
      </c>
    </row>
    <row r="110" spans="4:9" x14ac:dyDescent="0.25">
      <c r="D110">
        <v>1994</v>
      </c>
      <c r="E110">
        <v>51.5</v>
      </c>
      <c r="F110">
        <v>1994</v>
      </c>
      <c r="G110">
        <v>52.307561655522811</v>
      </c>
      <c r="I110">
        <f t="shared" si="1"/>
        <v>51.185999999999986</v>
      </c>
    </row>
    <row r="111" spans="4:9" x14ac:dyDescent="0.25">
      <c r="D111">
        <v>1995</v>
      </c>
      <c r="E111">
        <v>52</v>
      </c>
      <c r="F111">
        <v>1995</v>
      </c>
      <c r="G111">
        <v>52.368601314161189</v>
      </c>
      <c r="I111">
        <f t="shared" si="1"/>
        <v>51.185999999999986</v>
      </c>
    </row>
    <row r="112" spans="4:9" x14ac:dyDescent="0.25">
      <c r="D112">
        <v>1996</v>
      </c>
      <c r="E112">
        <v>50.9</v>
      </c>
      <c r="F112">
        <v>1996</v>
      </c>
      <c r="G112">
        <v>52.428969880886306</v>
      </c>
      <c r="I112">
        <f t="shared" si="1"/>
        <v>51.185999999999986</v>
      </c>
    </row>
    <row r="113" spans="4:9" x14ac:dyDescent="0.25">
      <c r="D113">
        <v>1997</v>
      </c>
      <c r="E113">
        <v>51.6</v>
      </c>
      <c r="F113">
        <v>1997</v>
      </c>
      <c r="G113">
        <v>52.488466165795444</v>
      </c>
      <c r="I113">
        <f t="shared" si="1"/>
        <v>51.185999999999986</v>
      </c>
    </row>
    <row r="114" spans="4:9" x14ac:dyDescent="0.25">
      <c r="D114">
        <v>1998</v>
      </c>
      <c r="E114">
        <v>54.9</v>
      </c>
      <c r="F114">
        <v>1998</v>
      </c>
      <c r="G114">
        <v>52.549194024198748</v>
      </c>
      <c r="I114">
        <f t="shared" si="1"/>
        <v>51.185999999999986</v>
      </c>
    </row>
    <row r="115" spans="4:9" x14ac:dyDescent="0.25">
      <c r="D115">
        <v>1999</v>
      </c>
      <c r="E115">
        <v>53.6</v>
      </c>
      <c r="F115">
        <v>1999</v>
      </c>
      <c r="G115">
        <v>52.615604313223308</v>
      </c>
      <c r="I115">
        <f t="shared" si="1"/>
        <v>51.185999999999986</v>
      </c>
    </row>
    <row r="116" spans="4:9" x14ac:dyDescent="0.25">
      <c r="D116">
        <v>2000</v>
      </c>
      <c r="E116">
        <v>51.7</v>
      </c>
      <c r="F116">
        <v>2000</v>
      </c>
      <c r="G116">
        <v>52.691041762767675</v>
      </c>
      <c r="I116">
        <f t="shared" si="1"/>
        <v>51.185999999999986</v>
      </c>
    </row>
    <row r="117" spans="4:9" x14ac:dyDescent="0.25">
      <c r="D117">
        <v>2001</v>
      </c>
      <c r="E117">
        <v>53.2</v>
      </c>
      <c r="F117">
        <v>2001</v>
      </c>
      <c r="G117">
        <v>52.773285772291118</v>
      </c>
      <c r="I117">
        <f t="shared" si="1"/>
        <v>51.185999999999986</v>
      </c>
    </row>
    <row r="118" spans="4:9" x14ac:dyDescent="0.25">
      <c r="D118">
        <v>2002</v>
      </c>
      <c r="E118">
        <v>53.8</v>
      </c>
      <c r="F118">
        <v>2002</v>
      </c>
      <c r="G118">
        <v>52.856659908375235</v>
      </c>
      <c r="I118">
        <f t="shared" si="1"/>
        <v>51.185999999999986</v>
      </c>
    </row>
    <row r="119" spans="4:9" x14ac:dyDescent="0.25">
      <c r="D119">
        <v>2003</v>
      </c>
      <c r="E119">
        <v>51.4</v>
      </c>
      <c r="F119">
        <v>2003</v>
      </c>
      <c r="G119">
        <v>52.924098164953584</v>
      </c>
      <c r="I119">
        <f t="shared" si="1"/>
        <v>51.185999999999986</v>
      </c>
    </row>
    <row r="120" spans="4:9" x14ac:dyDescent="0.25">
      <c r="D120">
        <v>2004</v>
      </c>
      <c r="E120">
        <v>52.7</v>
      </c>
      <c r="F120">
        <v>2004</v>
      </c>
      <c r="G120">
        <v>52.984202863148163</v>
      </c>
      <c r="I120">
        <f t="shared" si="1"/>
        <v>51.185999999999986</v>
      </c>
    </row>
    <row r="121" spans="4:9" x14ac:dyDescent="0.25">
      <c r="D121">
        <v>2005</v>
      </c>
      <c r="E121">
        <v>53.1</v>
      </c>
      <c r="F121">
        <v>2005</v>
      </c>
      <c r="G121">
        <v>53.046040962161946</v>
      </c>
      <c r="I121">
        <f t="shared" si="1"/>
        <v>51.185999999999986</v>
      </c>
    </row>
    <row r="122" spans="4:9" x14ac:dyDescent="0.25">
      <c r="D122">
        <v>2006</v>
      </c>
      <c r="E122">
        <v>54.6</v>
      </c>
      <c r="F122">
        <v>2006</v>
      </c>
      <c r="G122">
        <v>53.109985039192942</v>
      </c>
      <c r="I122">
        <f t="shared" si="1"/>
        <v>51.185999999999986</v>
      </c>
    </row>
    <row r="123" spans="4:9" x14ac:dyDescent="0.25">
      <c r="D123">
        <v>2007</v>
      </c>
      <c r="E123">
        <v>53.2</v>
      </c>
      <c r="F123">
        <v>2007</v>
      </c>
      <c r="G123">
        <v>53.17516872526361</v>
      </c>
      <c r="I123">
        <f t="shared" si="1"/>
        <v>51.185999999999986</v>
      </c>
    </row>
    <row r="124" spans="4:9" x14ac:dyDescent="0.25">
      <c r="D124">
        <v>2008</v>
      </c>
      <c r="E124">
        <v>52.9</v>
      </c>
      <c r="F124">
        <v>2008</v>
      </c>
      <c r="G124">
        <v>53.240732524587905</v>
      </c>
      <c r="I124">
        <f t="shared" si="1"/>
        <v>51.185999999999986</v>
      </c>
    </row>
    <row r="125" spans="4:9" x14ac:dyDescent="0.25">
      <c r="D125">
        <v>2009</v>
      </c>
      <c r="E125">
        <v>52.3</v>
      </c>
      <c r="F125">
        <v>2009</v>
      </c>
      <c r="G125">
        <v>53.306121780206674</v>
      </c>
      <c r="I125">
        <f t="shared" si="1"/>
        <v>51.185999999999986</v>
      </c>
    </row>
    <row r="126" spans="4:9" x14ac:dyDescent="0.25">
      <c r="D126">
        <v>2010</v>
      </c>
      <c r="E126">
        <v>54.1</v>
      </c>
      <c r="F126">
        <v>2010</v>
      </c>
      <c r="G126">
        <v>53.371077596839747</v>
      </c>
      <c r="I126">
        <f t="shared" si="1"/>
        <v>51.185999999999986</v>
      </c>
    </row>
    <row r="127" spans="4:9" x14ac:dyDescent="0.25">
      <c r="D127">
        <v>2011</v>
      </c>
      <c r="E127">
        <v>54.2</v>
      </c>
      <c r="F127">
        <v>2011</v>
      </c>
      <c r="G127">
        <v>53.435550509917107</v>
      </c>
      <c r="I127">
        <f t="shared" si="1"/>
        <v>51.185999999999986</v>
      </c>
    </row>
    <row r="128" spans="4:9" x14ac:dyDescent="0.25">
      <c r="D128">
        <v>2012</v>
      </c>
      <c r="E128">
        <v>55.2</v>
      </c>
      <c r="F128">
        <v>2012</v>
      </c>
      <c r="G128">
        <v>53.499434976901036</v>
      </c>
      <c r="I128">
        <f t="shared" si="1"/>
        <v>51.185999999999986</v>
      </c>
    </row>
    <row r="129" spans="4:9" x14ac:dyDescent="0.25">
      <c r="D129">
        <v>2013</v>
      </c>
      <c r="E129">
        <v>52.6</v>
      </c>
      <c r="F129">
        <v>2013</v>
      </c>
      <c r="G129">
        <v>53.562494004405558</v>
      </c>
      <c r="I129">
        <f t="shared" si="1"/>
        <v>51.185999999999986</v>
      </c>
    </row>
    <row r="130" spans="4:9" x14ac:dyDescent="0.25">
      <c r="D130">
        <v>2014</v>
      </c>
      <c r="E130">
        <v>51.2</v>
      </c>
      <c r="F130">
        <v>2014</v>
      </c>
      <c r="G130">
        <v>53.624347425884586</v>
      </c>
      <c r="I130">
        <f t="shared" si="1"/>
        <v>51.185999999999986</v>
      </c>
    </row>
    <row r="131" spans="4:9" x14ac:dyDescent="0.25">
      <c r="D131">
        <v>2015</v>
      </c>
      <c r="E131">
        <v>53.3</v>
      </c>
      <c r="F131">
        <v>2015</v>
      </c>
      <c r="G131">
        <v>53.684862430278251</v>
      </c>
      <c r="I131">
        <f t="shared" si="1"/>
        <v>51.185999999999986</v>
      </c>
    </row>
    <row r="132" spans="4:9" x14ac:dyDescent="0.25">
      <c r="D132">
        <v>2016</v>
      </c>
      <c r="E132">
        <v>54.5</v>
      </c>
      <c r="F132">
        <v>2016</v>
      </c>
      <c r="G132">
        <v>53.744340012989561</v>
      </c>
      <c r="I132">
        <f t="shared" si="1"/>
        <v>51.185999999999986</v>
      </c>
    </row>
    <row r="133" spans="4:9" x14ac:dyDescent="0.25">
      <c r="D133">
        <v>2017</v>
      </c>
      <c r="E133">
        <v>54.3</v>
      </c>
      <c r="F133">
        <v>2017</v>
      </c>
      <c r="G133">
        <v>53.803179146081604</v>
      </c>
      <c r="I133">
        <f t="shared" si="1"/>
        <v>51.185999999999986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G131"/>
  <sheetViews>
    <sheetView workbookViewId="0">
      <selection activeCell="J26" sqref="J26"/>
    </sheetView>
  </sheetViews>
  <sheetFormatPr defaultRowHeight="15" x14ac:dyDescent="0.25"/>
  <sheetData>
    <row r="2" spans="3:7" x14ac:dyDescent="0.25">
      <c r="C2" s="1" t="s">
        <v>10</v>
      </c>
    </row>
    <row r="3" spans="3:7" x14ac:dyDescent="0.25">
      <c r="C3" t="s">
        <v>11</v>
      </c>
    </row>
    <row r="4" spans="3:7" x14ac:dyDescent="0.25">
      <c r="C4" t="s">
        <v>4</v>
      </c>
    </row>
    <row r="5" spans="3:7" x14ac:dyDescent="0.25">
      <c r="C5" t="s">
        <v>5</v>
      </c>
    </row>
    <row r="6" spans="3:7" x14ac:dyDescent="0.25">
      <c r="C6" s="1" t="s">
        <v>0</v>
      </c>
    </row>
    <row r="7" spans="3:7" x14ac:dyDescent="0.25">
      <c r="C7" s="1" t="s">
        <v>2</v>
      </c>
    </row>
    <row r="8" spans="3:7" x14ac:dyDescent="0.25">
      <c r="C8" s="1" t="s">
        <v>6</v>
      </c>
      <c r="D8" t="s">
        <v>7</v>
      </c>
    </row>
    <row r="9" spans="3:7" x14ac:dyDescent="0.25">
      <c r="C9">
        <v>1895</v>
      </c>
      <c r="D9">
        <v>51</v>
      </c>
      <c r="E9">
        <v>1895</v>
      </c>
      <c r="F9">
        <f t="array" ref="F9:F131">+LOESS(C9:C131,D9:D131,E9:E131,30)</f>
        <v>51.600398847932553</v>
      </c>
      <c r="G9">
        <f>+AVERAGE($D$9:$D$131)</f>
        <v>52.997560975609751</v>
      </c>
    </row>
    <row r="10" spans="3:7" x14ac:dyDescent="0.25">
      <c r="C10">
        <v>1896</v>
      </c>
      <c r="D10">
        <v>51.8</v>
      </c>
      <c r="E10">
        <v>1896</v>
      </c>
      <c r="F10">
        <v>51.610358342232104</v>
      </c>
      <c r="G10">
        <f t="shared" ref="G10:G73" si="0">+AVERAGE($D$9:$D$131)</f>
        <v>52.997560975609751</v>
      </c>
    </row>
    <row r="11" spans="3:7" x14ac:dyDescent="0.25">
      <c r="C11">
        <v>1897</v>
      </c>
      <c r="D11">
        <v>51.7</v>
      </c>
      <c r="E11">
        <v>1897</v>
      </c>
      <c r="F11">
        <v>51.621115398920672</v>
      </c>
      <c r="G11">
        <f t="shared" si="0"/>
        <v>52.997560975609751</v>
      </c>
    </row>
    <row r="12" spans="3:7" x14ac:dyDescent="0.25">
      <c r="C12">
        <v>1898</v>
      </c>
      <c r="D12">
        <v>52.7</v>
      </c>
      <c r="E12">
        <v>1898</v>
      </c>
      <c r="F12">
        <v>51.632861568980111</v>
      </c>
      <c r="G12">
        <f t="shared" si="0"/>
        <v>52.997560975609751</v>
      </c>
    </row>
    <row r="13" spans="3:7" x14ac:dyDescent="0.25">
      <c r="C13">
        <v>1899</v>
      </c>
      <c r="D13">
        <v>51.4</v>
      </c>
      <c r="E13">
        <v>1899</v>
      </c>
      <c r="F13">
        <v>51.6457208276817</v>
      </c>
      <c r="G13">
        <f t="shared" si="0"/>
        <v>52.997560975609751</v>
      </c>
    </row>
    <row r="14" spans="3:7" x14ac:dyDescent="0.25">
      <c r="C14">
        <v>1900</v>
      </c>
      <c r="D14">
        <v>53.1</v>
      </c>
      <c r="E14">
        <v>1900</v>
      </c>
      <c r="F14">
        <v>51.659632838360899</v>
      </c>
      <c r="G14">
        <f t="shared" si="0"/>
        <v>52.997560975609751</v>
      </c>
    </row>
    <row r="15" spans="3:7" x14ac:dyDescent="0.25">
      <c r="C15">
        <v>1901</v>
      </c>
      <c r="D15">
        <v>51</v>
      </c>
      <c r="E15">
        <v>1901</v>
      </c>
      <c r="F15">
        <v>51.674430073009241</v>
      </c>
      <c r="G15">
        <f t="shared" si="0"/>
        <v>52.997560975609751</v>
      </c>
    </row>
    <row r="16" spans="3:7" x14ac:dyDescent="0.25">
      <c r="C16">
        <v>1902</v>
      </c>
      <c r="D16">
        <v>51.9</v>
      </c>
      <c r="E16">
        <v>1902</v>
      </c>
      <c r="F16">
        <v>51.689683573143881</v>
      </c>
      <c r="G16">
        <f t="shared" si="0"/>
        <v>52.997560975609751</v>
      </c>
    </row>
    <row r="17" spans="3:7" x14ac:dyDescent="0.25">
      <c r="C17">
        <v>1903</v>
      </c>
      <c r="D17">
        <v>51.7</v>
      </c>
      <c r="E17">
        <v>1903</v>
      </c>
      <c r="F17">
        <v>51.704863692020226</v>
      </c>
      <c r="G17">
        <f t="shared" si="0"/>
        <v>52.997560975609751</v>
      </c>
    </row>
    <row r="18" spans="3:7" x14ac:dyDescent="0.25">
      <c r="C18">
        <v>1904</v>
      </c>
      <c r="D18">
        <v>49.3</v>
      </c>
      <c r="E18">
        <v>1904</v>
      </c>
      <c r="F18">
        <v>51.719256970413795</v>
      </c>
      <c r="G18">
        <f t="shared" si="0"/>
        <v>52.997560975609751</v>
      </c>
    </row>
    <row r="19" spans="3:7" x14ac:dyDescent="0.25">
      <c r="C19">
        <v>1905</v>
      </c>
      <c r="D19">
        <v>51.1</v>
      </c>
      <c r="E19">
        <v>1905</v>
      </c>
      <c r="F19">
        <v>51.731980564856883</v>
      </c>
      <c r="G19">
        <f t="shared" si="0"/>
        <v>52.997560975609751</v>
      </c>
    </row>
    <row r="20" spans="3:7" x14ac:dyDescent="0.25">
      <c r="C20">
        <v>1906</v>
      </c>
      <c r="D20">
        <v>52.9</v>
      </c>
      <c r="E20">
        <v>1906</v>
      </c>
      <c r="F20">
        <v>51.74232810044191</v>
      </c>
      <c r="G20">
        <f t="shared" si="0"/>
        <v>52.997560975609751</v>
      </c>
    </row>
    <row r="21" spans="3:7" x14ac:dyDescent="0.25">
      <c r="C21">
        <v>1907</v>
      </c>
      <c r="D21">
        <v>50.2</v>
      </c>
      <c r="E21">
        <v>1907</v>
      </c>
      <c r="F21">
        <v>51.749616515943295</v>
      </c>
      <c r="G21">
        <f t="shared" si="0"/>
        <v>52.997560975609751</v>
      </c>
    </row>
    <row r="22" spans="3:7" x14ac:dyDescent="0.25">
      <c r="C22">
        <v>1908</v>
      </c>
      <c r="D22">
        <v>52.6</v>
      </c>
      <c r="E22">
        <v>1908</v>
      </c>
      <c r="F22">
        <v>51.752925554577658</v>
      </c>
      <c r="G22">
        <f t="shared" si="0"/>
        <v>52.997560975609751</v>
      </c>
    </row>
    <row r="23" spans="3:7" x14ac:dyDescent="0.25">
      <c r="C23">
        <v>1909</v>
      </c>
      <c r="D23">
        <v>52</v>
      </c>
      <c r="E23">
        <v>1909</v>
      </c>
      <c r="F23">
        <v>51.752709277769483</v>
      </c>
      <c r="G23">
        <f t="shared" si="0"/>
        <v>52.997560975609751</v>
      </c>
    </row>
    <row r="24" spans="3:7" x14ac:dyDescent="0.25">
      <c r="C24">
        <v>1910</v>
      </c>
      <c r="D24">
        <v>51.8</v>
      </c>
      <c r="E24">
        <v>1910</v>
      </c>
      <c r="F24">
        <v>51.757030391292709</v>
      </c>
      <c r="G24">
        <f t="shared" si="0"/>
        <v>52.997560975609751</v>
      </c>
    </row>
    <row r="25" spans="3:7" x14ac:dyDescent="0.25">
      <c r="C25">
        <v>1911</v>
      </c>
      <c r="D25">
        <v>52.7</v>
      </c>
      <c r="E25">
        <v>1911</v>
      </c>
      <c r="F25">
        <v>51.787646318092712</v>
      </c>
      <c r="G25">
        <f t="shared" si="0"/>
        <v>52.997560975609751</v>
      </c>
    </row>
    <row r="26" spans="3:7" x14ac:dyDescent="0.25">
      <c r="C26">
        <v>1912</v>
      </c>
      <c r="D26">
        <v>51.4</v>
      </c>
      <c r="E26">
        <v>1912</v>
      </c>
      <c r="F26">
        <v>51.829598222653964</v>
      </c>
      <c r="G26">
        <f t="shared" si="0"/>
        <v>52.997560975609751</v>
      </c>
    </row>
    <row r="27" spans="3:7" x14ac:dyDescent="0.25">
      <c r="C27">
        <v>1913</v>
      </c>
      <c r="D27">
        <v>54.1</v>
      </c>
      <c r="E27">
        <v>1913</v>
      </c>
      <c r="F27">
        <v>51.876621679616477</v>
      </c>
      <c r="G27">
        <f t="shared" si="0"/>
        <v>52.997560975609751</v>
      </c>
    </row>
    <row r="28" spans="3:7" x14ac:dyDescent="0.25">
      <c r="C28">
        <v>1914</v>
      </c>
      <c r="D28">
        <v>51.3</v>
      </c>
      <c r="E28">
        <v>1914</v>
      </c>
      <c r="F28">
        <v>51.920710005047596</v>
      </c>
      <c r="G28">
        <f t="shared" si="0"/>
        <v>52.997560975609751</v>
      </c>
    </row>
    <row r="29" spans="3:7" x14ac:dyDescent="0.25">
      <c r="C29">
        <v>1915</v>
      </c>
      <c r="D29">
        <v>52.2</v>
      </c>
      <c r="E29">
        <v>1915</v>
      </c>
      <c r="F29">
        <v>51.95417663811412</v>
      </c>
      <c r="G29">
        <f t="shared" si="0"/>
        <v>52.997560975609751</v>
      </c>
    </row>
    <row r="30" spans="3:7" x14ac:dyDescent="0.25">
      <c r="C30">
        <v>1916</v>
      </c>
      <c r="D30">
        <v>51.2</v>
      </c>
      <c r="E30">
        <v>1916</v>
      </c>
      <c r="F30">
        <v>51.973925051933819</v>
      </c>
      <c r="G30">
        <f t="shared" si="0"/>
        <v>52.997560975609751</v>
      </c>
    </row>
    <row r="31" spans="3:7" x14ac:dyDescent="0.25">
      <c r="C31">
        <v>1917</v>
      </c>
      <c r="D31">
        <v>49.7</v>
      </c>
      <c r="E31">
        <v>1917</v>
      </c>
      <c r="F31">
        <v>51.979952088243842</v>
      </c>
      <c r="G31">
        <f t="shared" si="0"/>
        <v>52.997560975609751</v>
      </c>
    </row>
    <row r="32" spans="3:7" x14ac:dyDescent="0.25">
      <c r="C32">
        <v>1918</v>
      </c>
      <c r="D32">
        <v>51.7</v>
      </c>
      <c r="E32">
        <v>1918</v>
      </c>
      <c r="F32">
        <v>51.977821705923489</v>
      </c>
      <c r="G32">
        <f t="shared" si="0"/>
        <v>52.997560975609751</v>
      </c>
    </row>
    <row r="33" spans="3:7" x14ac:dyDescent="0.25">
      <c r="C33">
        <v>1919</v>
      </c>
      <c r="D33">
        <v>52.9</v>
      </c>
      <c r="E33">
        <v>1919</v>
      </c>
      <c r="F33">
        <v>51.979986194418792</v>
      </c>
      <c r="G33">
        <f t="shared" si="0"/>
        <v>52.997560975609751</v>
      </c>
    </row>
    <row r="34" spans="3:7" x14ac:dyDescent="0.25">
      <c r="C34">
        <v>1920</v>
      </c>
      <c r="D34">
        <v>51.4</v>
      </c>
      <c r="E34">
        <v>1920</v>
      </c>
      <c r="F34">
        <v>51.994877084855943</v>
      </c>
      <c r="G34">
        <f t="shared" si="0"/>
        <v>52.997560975609751</v>
      </c>
    </row>
    <row r="35" spans="3:7" x14ac:dyDescent="0.25">
      <c r="C35">
        <v>1921</v>
      </c>
      <c r="D35">
        <v>54.3</v>
      </c>
      <c r="E35">
        <v>1921</v>
      </c>
      <c r="F35">
        <v>52.025051852942461</v>
      </c>
      <c r="G35">
        <f t="shared" si="0"/>
        <v>52.997560975609751</v>
      </c>
    </row>
    <row r="36" spans="3:7" x14ac:dyDescent="0.25">
      <c r="C36">
        <v>1922</v>
      </c>
      <c r="D36">
        <v>52.7</v>
      </c>
      <c r="E36">
        <v>1922</v>
      </c>
      <c r="F36">
        <v>52.070371707417635</v>
      </c>
      <c r="G36">
        <f t="shared" si="0"/>
        <v>52.997560975609751</v>
      </c>
    </row>
    <row r="37" spans="3:7" x14ac:dyDescent="0.25">
      <c r="C37">
        <v>1923</v>
      </c>
      <c r="D37">
        <v>52</v>
      </c>
      <c r="E37">
        <v>1923</v>
      </c>
      <c r="F37">
        <v>52.125099485705945</v>
      </c>
      <c r="G37">
        <f t="shared" si="0"/>
        <v>52.997560975609751</v>
      </c>
    </row>
    <row r="38" spans="3:7" x14ac:dyDescent="0.25">
      <c r="C38">
        <v>1924</v>
      </c>
      <c r="D38">
        <v>50.7</v>
      </c>
      <c r="E38">
        <v>1924</v>
      </c>
      <c r="F38">
        <v>52.183540734640204</v>
      </c>
      <c r="G38">
        <f t="shared" si="0"/>
        <v>52.997560975609751</v>
      </c>
    </row>
    <row r="39" spans="3:7" x14ac:dyDescent="0.25">
      <c r="C39">
        <v>1925</v>
      </c>
      <c r="D39">
        <v>52.5</v>
      </c>
      <c r="E39">
        <v>1925</v>
      </c>
      <c r="F39">
        <v>52.2422939083242</v>
      </c>
      <c r="G39">
        <f t="shared" si="0"/>
        <v>52.997560975609751</v>
      </c>
    </row>
    <row r="40" spans="3:7" x14ac:dyDescent="0.25">
      <c r="C40">
        <v>1926</v>
      </c>
      <c r="D40">
        <v>50.3</v>
      </c>
      <c r="E40">
        <v>1926</v>
      </c>
      <c r="F40">
        <v>52.299491578198428</v>
      </c>
      <c r="G40">
        <f t="shared" si="0"/>
        <v>52.997560975609751</v>
      </c>
    </row>
    <row r="41" spans="3:7" x14ac:dyDescent="0.25">
      <c r="C41">
        <v>1927</v>
      </c>
      <c r="D41">
        <v>52.2</v>
      </c>
      <c r="E41">
        <v>1927</v>
      </c>
      <c r="F41">
        <v>52.35199743602292</v>
      </c>
      <c r="G41">
        <f t="shared" si="0"/>
        <v>52.997560975609751</v>
      </c>
    </row>
    <row r="42" spans="3:7" x14ac:dyDescent="0.25">
      <c r="C42">
        <v>1928</v>
      </c>
      <c r="D42">
        <v>52</v>
      </c>
      <c r="E42">
        <v>1928</v>
      </c>
      <c r="F42">
        <v>52.391992970707129</v>
      </c>
      <c r="G42">
        <f t="shared" si="0"/>
        <v>52.997560975609751</v>
      </c>
    </row>
    <row r="43" spans="3:7" x14ac:dyDescent="0.25">
      <c r="C43">
        <v>1929</v>
      </c>
      <c r="D43">
        <v>52.6</v>
      </c>
      <c r="E43">
        <v>1929</v>
      </c>
      <c r="F43">
        <v>52.418798293934749</v>
      </c>
      <c r="G43">
        <f t="shared" si="0"/>
        <v>52.997560975609751</v>
      </c>
    </row>
    <row r="44" spans="3:7" x14ac:dyDescent="0.25">
      <c r="C44">
        <v>1930</v>
      </c>
      <c r="D44">
        <v>53</v>
      </c>
      <c r="E44">
        <v>1930</v>
      </c>
      <c r="F44">
        <v>52.435795817052956</v>
      </c>
      <c r="G44">
        <f t="shared" si="0"/>
        <v>52.997560975609751</v>
      </c>
    </row>
    <row r="45" spans="3:7" x14ac:dyDescent="0.25">
      <c r="C45">
        <v>1931</v>
      </c>
      <c r="D45">
        <v>54.5</v>
      </c>
      <c r="E45">
        <v>1931</v>
      </c>
      <c r="F45">
        <v>52.449581850232825</v>
      </c>
      <c r="G45">
        <f t="shared" si="0"/>
        <v>52.997560975609751</v>
      </c>
    </row>
    <row r="46" spans="3:7" x14ac:dyDescent="0.25">
      <c r="C46">
        <v>1932</v>
      </c>
      <c r="D46">
        <v>53.5</v>
      </c>
      <c r="E46">
        <v>1932</v>
      </c>
      <c r="F46">
        <v>52.46830542411486</v>
      </c>
      <c r="G46">
        <f t="shared" si="0"/>
        <v>52.997560975609751</v>
      </c>
    </row>
    <row r="47" spans="3:7" x14ac:dyDescent="0.25">
      <c r="C47">
        <v>1933</v>
      </c>
      <c r="D47">
        <v>53.2</v>
      </c>
      <c r="E47">
        <v>1933</v>
      </c>
      <c r="F47">
        <v>52.495590996201571</v>
      </c>
      <c r="G47">
        <f t="shared" si="0"/>
        <v>52.997560975609751</v>
      </c>
    </row>
    <row r="48" spans="3:7" x14ac:dyDescent="0.25">
      <c r="C48">
        <v>1934</v>
      </c>
      <c r="D48">
        <v>51.7</v>
      </c>
      <c r="E48">
        <v>1934</v>
      </c>
      <c r="F48">
        <v>52.531390752902745</v>
      </c>
      <c r="G48">
        <f t="shared" si="0"/>
        <v>52.997560975609751</v>
      </c>
    </row>
    <row r="49" spans="3:7" x14ac:dyDescent="0.25">
      <c r="C49">
        <v>1935</v>
      </c>
      <c r="D49">
        <v>51.7</v>
      </c>
      <c r="E49">
        <v>1935</v>
      </c>
      <c r="F49">
        <v>52.571417204350908</v>
      </c>
      <c r="G49">
        <f t="shared" si="0"/>
        <v>52.997560975609751</v>
      </c>
    </row>
    <row r="50" spans="3:7" x14ac:dyDescent="0.25">
      <c r="C50">
        <v>1936</v>
      </c>
      <c r="D50">
        <v>52.2</v>
      </c>
      <c r="E50">
        <v>1936</v>
      </c>
      <c r="F50">
        <v>52.607843221634511</v>
      </c>
      <c r="G50">
        <f t="shared" si="0"/>
        <v>52.997560975609751</v>
      </c>
    </row>
    <row r="51" spans="3:7" x14ac:dyDescent="0.25">
      <c r="C51">
        <v>1937</v>
      </c>
      <c r="D51">
        <v>52.8</v>
      </c>
      <c r="E51">
        <v>1937</v>
      </c>
      <c r="F51">
        <v>52.63826590014969</v>
      </c>
      <c r="G51">
        <f t="shared" si="0"/>
        <v>52.997560975609751</v>
      </c>
    </row>
    <row r="52" spans="3:7" x14ac:dyDescent="0.25">
      <c r="C52">
        <v>1938</v>
      </c>
      <c r="D52">
        <v>53.4</v>
      </c>
      <c r="E52">
        <v>1938</v>
      </c>
      <c r="F52">
        <v>52.662066824173174</v>
      </c>
      <c r="G52">
        <f t="shared" si="0"/>
        <v>52.997560975609751</v>
      </c>
    </row>
    <row r="53" spans="3:7" x14ac:dyDescent="0.25">
      <c r="C53">
        <v>1939</v>
      </c>
      <c r="D53">
        <v>53.1</v>
      </c>
      <c r="E53">
        <v>1939</v>
      </c>
      <c r="F53">
        <v>52.68124569663</v>
      </c>
      <c r="G53">
        <f t="shared" si="0"/>
        <v>52.997560975609751</v>
      </c>
    </row>
    <row r="54" spans="3:7" x14ac:dyDescent="0.25">
      <c r="C54">
        <v>1940</v>
      </c>
      <c r="D54">
        <v>50.1</v>
      </c>
      <c r="E54">
        <v>1940</v>
      </c>
      <c r="F54">
        <v>52.699089330253834</v>
      </c>
      <c r="G54">
        <f t="shared" si="0"/>
        <v>52.997560975609751</v>
      </c>
    </row>
    <row r="55" spans="3:7" x14ac:dyDescent="0.25">
      <c r="C55">
        <v>1941</v>
      </c>
      <c r="D55">
        <v>53.2</v>
      </c>
      <c r="E55">
        <v>1941</v>
      </c>
      <c r="F55">
        <v>52.722928363746206</v>
      </c>
      <c r="G55">
        <f t="shared" si="0"/>
        <v>52.997560975609751</v>
      </c>
    </row>
    <row r="56" spans="3:7" x14ac:dyDescent="0.25">
      <c r="C56">
        <v>1942</v>
      </c>
      <c r="D56">
        <v>52.8</v>
      </c>
      <c r="E56">
        <v>1942</v>
      </c>
      <c r="F56">
        <v>52.758044919038497</v>
      </c>
      <c r="G56">
        <f t="shared" si="0"/>
        <v>52.997560975609751</v>
      </c>
    </row>
    <row r="57" spans="3:7" x14ac:dyDescent="0.25">
      <c r="C57">
        <v>1943</v>
      </c>
      <c r="D57">
        <v>52.3</v>
      </c>
      <c r="E57">
        <v>1943</v>
      </c>
      <c r="F57">
        <v>52.80620521272273</v>
      </c>
      <c r="G57">
        <f t="shared" si="0"/>
        <v>52.997560975609751</v>
      </c>
    </row>
    <row r="58" spans="3:7" x14ac:dyDescent="0.25">
      <c r="C58">
        <v>1944</v>
      </c>
      <c r="D58">
        <v>52.7</v>
      </c>
      <c r="E58">
        <v>1944</v>
      </c>
      <c r="F58">
        <v>52.865349482578047</v>
      </c>
      <c r="G58">
        <f t="shared" si="0"/>
        <v>52.997560975609751</v>
      </c>
    </row>
    <row r="59" spans="3:7" x14ac:dyDescent="0.25">
      <c r="C59">
        <v>1945</v>
      </c>
      <c r="D59">
        <v>52.9</v>
      </c>
      <c r="E59">
        <v>1945</v>
      </c>
      <c r="F59">
        <v>52.93059568788717</v>
      </c>
      <c r="G59">
        <f t="shared" si="0"/>
        <v>52.997560975609751</v>
      </c>
    </row>
    <row r="60" spans="3:7" x14ac:dyDescent="0.25">
      <c r="C60">
        <v>1946</v>
      </c>
      <c r="D60">
        <v>53.9</v>
      </c>
      <c r="E60">
        <v>1946</v>
      </c>
      <c r="F60">
        <v>52.992891325374757</v>
      </c>
      <c r="G60">
        <f t="shared" si="0"/>
        <v>52.997560975609751</v>
      </c>
    </row>
    <row r="61" spans="3:7" x14ac:dyDescent="0.25">
      <c r="C61">
        <v>1947</v>
      </c>
      <c r="D61">
        <v>52.4</v>
      </c>
      <c r="E61">
        <v>1947</v>
      </c>
      <c r="F61">
        <v>53.047528874110206</v>
      </c>
      <c r="G61">
        <f t="shared" si="0"/>
        <v>52.997560975609751</v>
      </c>
    </row>
    <row r="62" spans="3:7" x14ac:dyDescent="0.25">
      <c r="C62">
        <v>1948</v>
      </c>
      <c r="D62">
        <v>52.5</v>
      </c>
      <c r="E62">
        <v>1948</v>
      </c>
      <c r="F62">
        <v>53.091759517968427</v>
      </c>
      <c r="G62">
        <f t="shared" si="0"/>
        <v>52.997560975609751</v>
      </c>
    </row>
    <row r="63" spans="3:7" x14ac:dyDescent="0.25">
      <c r="C63">
        <v>1949</v>
      </c>
      <c r="D63">
        <v>55</v>
      </c>
      <c r="E63">
        <v>1949</v>
      </c>
      <c r="F63">
        <v>53.125865726663442</v>
      </c>
      <c r="G63">
        <f t="shared" si="0"/>
        <v>52.997560975609751</v>
      </c>
    </row>
    <row r="64" spans="3:7" x14ac:dyDescent="0.25">
      <c r="C64">
        <v>1950</v>
      </c>
      <c r="D64">
        <v>52.4</v>
      </c>
      <c r="E64">
        <v>1950</v>
      </c>
      <c r="F64">
        <v>53.149062801790485</v>
      </c>
      <c r="G64">
        <f t="shared" si="0"/>
        <v>52.997560975609751</v>
      </c>
    </row>
    <row r="65" spans="3:7" x14ac:dyDescent="0.25">
      <c r="C65">
        <v>1951</v>
      </c>
      <c r="D65">
        <v>53.4</v>
      </c>
      <c r="E65">
        <v>1951</v>
      </c>
      <c r="F65">
        <v>53.158830343152481</v>
      </c>
      <c r="G65">
        <f t="shared" si="0"/>
        <v>52.997560975609751</v>
      </c>
    </row>
    <row r="66" spans="3:7" x14ac:dyDescent="0.25">
      <c r="C66">
        <v>1952</v>
      </c>
      <c r="D66">
        <v>53.7</v>
      </c>
      <c r="E66">
        <v>1952</v>
      </c>
      <c r="F66">
        <v>53.153688451756167</v>
      </c>
      <c r="G66">
        <f t="shared" si="0"/>
        <v>52.997560975609751</v>
      </c>
    </row>
    <row r="67" spans="3:7" x14ac:dyDescent="0.25">
      <c r="C67">
        <v>1953</v>
      </c>
      <c r="D67">
        <v>54.7</v>
      </c>
      <c r="E67">
        <v>1953</v>
      </c>
      <c r="F67">
        <v>53.132506340238308</v>
      </c>
      <c r="G67">
        <f t="shared" si="0"/>
        <v>52.997560975609751</v>
      </c>
    </row>
    <row r="68" spans="3:7" x14ac:dyDescent="0.25">
      <c r="C68">
        <v>1954</v>
      </c>
      <c r="D68">
        <v>53.5</v>
      </c>
      <c r="E68">
        <v>1954</v>
      </c>
      <c r="F68">
        <v>53.096401941739941</v>
      </c>
      <c r="G68">
        <f t="shared" si="0"/>
        <v>52.997560975609751</v>
      </c>
    </row>
    <row r="69" spans="3:7" x14ac:dyDescent="0.25">
      <c r="C69">
        <v>1955</v>
      </c>
      <c r="D69">
        <v>53.2</v>
      </c>
      <c r="E69">
        <v>1955</v>
      </c>
      <c r="F69">
        <v>53.048613362285153</v>
      </c>
      <c r="G69">
        <f t="shared" si="0"/>
        <v>52.997560975609751</v>
      </c>
    </row>
    <row r="70" spans="3:7" x14ac:dyDescent="0.25">
      <c r="C70">
        <v>1956</v>
      </c>
      <c r="D70">
        <v>52.6</v>
      </c>
      <c r="E70">
        <v>1956</v>
      </c>
      <c r="F70">
        <v>52.990395706137647</v>
      </c>
      <c r="G70">
        <f t="shared" si="0"/>
        <v>52.997560975609751</v>
      </c>
    </row>
    <row r="71" spans="3:7" x14ac:dyDescent="0.25">
      <c r="C71">
        <v>1957</v>
      </c>
      <c r="D71">
        <v>53.7</v>
      </c>
      <c r="E71">
        <v>1957</v>
      </c>
      <c r="F71">
        <v>52.923760207787041</v>
      </c>
      <c r="G71">
        <f t="shared" si="0"/>
        <v>52.997560975609751</v>
      </c>
    </row>
    <row r="72" spans="3:7" x14ac:dyDescent="0.25">
      <c r="C72">
        <v>1958</v>
      </c>
      <c r="D72">
        <v>51.3</v>
      </c>
      <c r="E72">
        <v>1958</v>
      </c>
      <c r="F72">
        <v>52.852857661915444</v>
      </c>
      <c r="G72">
        <f t="shared" si="0"/>
        <v>52.997560975609751</v>
      </c>
    </row>
    <row r="73" spans="3:7" x14ac:dyDescent="0.25">
      <c r="C73">
        <v>1959</v>
      </c>
      <c r="D73">
        <v>54.2</v>
      </c>
      <c r="E73">
        <v>1959</v>
      </c>
      <c r="F73">
        <v>52.781798746807794</v>
      </c>
      <c r="G73">
        <f t="shared" si="0"/>
        <v>52.997560975609751</v>
      </c>
    </row>
    <row r="74" spans="3:7" x14ac:dyDescent="0.25">
      <c r="C74">
        <v>1960</v>
      </c>
      <c r="D74">
        <v>52.3</v>
      </c>
      <c r="E74">
        <v>1960</v>
      </c>
      <c r="F74">
        <v>52.713854889173433</v>
      </c>
      <c r="G74">
        <f t="shared" ref="G74:G131" si="1">+AVERAGE($D$9:$D$131)</f>
        <v>52.997560975609751</v>
      </c>
    </row>
    <row r="75" spans="3:7" x14ac:dyDescent="0.25">
      <c r="C75">
        <v>1961</v>
      </c>
      <c r="D75">
        <v>52.7</v>
      </c>
      <c r="E75">
        <v>1961</v>
      </c>
      <c r="F75">
        <v>52.653757514342061</v>
      </c>
      <c r="G75">
        <f t="shared" si="1"/>
        <v>52.997560975609751</v>
      </c>
    </row>
    <row r="76" spans="3:7" x14ac:dyDescent="0.25">
      <c r="C76">
        <v>1962</v>
      </c>
      <c r="D76">
        <v>51.4</v>
      </c>
      <c r="E76">
        <v>1962</v>
      </c>
      <c r="F76">
        <v>52.607375855006254</v>
      </c>
      <c r="G76">
        <f t="shared" si="1"/>
        <v>52.997560975609751</v>
      </c>
    </row>
    <row r="77" spans="3:7" x14ac:dyDescent="0.25">
      <c r="C77">
        <v>1963</v>
      </c>
      <c r="D77">
        <v>51.7</v>
      </c>
      <c r="E77">
        <v>1963</v>
      </c>
      <c r="F77">
        <v>52.578352066809664</v>
      </c>
      <c r="G77">
        <f t="shared" si="1"/>
        <v>52.997560975609751</v>
      </c>
    </row>
    <row r="78" spans="3:7" x14ac:dyDescent="0.25">
      <c r="C78">
        <v>1964</v>
      </c>
      <c r="D78">
        <v>52.9</v>
      </c>
      <c r="E78">
        <v>1964</v>
      </c>
      <c r="F78">
        <v>52.565455084121631</v>
      </c>
      <c r="G78">
        <f t="shared" si="1"/>
        <v>52.997560975609751</v>
      </c>
    </row>
    <row r="79" spans="3:7" x14ac:dyDescent="0.25">
      <c r="C79">
        <v>1965</v>
      </c>
      <c r="D79">
        <v>52.2</v>
      </c>
      <c r="E79">
        <v>1965</v>
      </c>
      <c r="F79">
        <v>52.568524937203733</v>
      </c>
      <c r="G79">
        <f t="shared" si="1"/>
        <v>52.997560975609751</v>
      </c>
    </row>
    <row r="80" spans="3:7" x14ac:dyDescent="0.25">
      <c r="C80">
        <v>1966</v>
      </c>
      <c r="D80">
        <v>52.2</v>
      </c>
      <c r="E80">
        <v>1966</v>
      </c>
      <c r="F80">
        <v>52.583494204364818</v>
      </c>
      <c r="G80">
        <f t="shared" si="1"/>
        <v>52.997560975609751</v>
      </c>
    </row>
    <row r="81" spans="3:7" x14ac:dyDescent="0.25">
      <c r="C81">
        <v>1967</v>
      </c>
      <c r="D81">
        <v>51.5</v>
      </c>
      <c r="E81">
        <v>1967</v>
      </c>
      <c r="F81">
        <v>52.605248272531469</v>
      </c>
      <c r="G81">
        <f t="shared" si="1"/>
        <v>52.997560975609751</v>
      </c>
    </row>
    <row r="82" spans="3:7" x14ac:dyDescent="0.25">
      <c r="C82">
        <v>1968</v>
      </c>
      <c r="D82">
        <v>52.6</v>
      </c>
      <c r="E82">
        <v>1968</v>
      </c>
      <c r="F82">
        <v>52.629269602113091</v>
      </c>
      <c r="G82">
        <f t="shared" si="1"/>
        <v>52.997560975609751</v>
      </c>
    </row>
    <row r="83" spans="3:7" x14ac:dyDescent="0.25">
      <c r="C83">
        <v>1969</v>
      </c>
      <c r="D83">
        <v>52.4</v>
      </c>
      <c r="E83">
        <v>1969</v>
      </c>
      <c r="F83">
        <v>52.653826282122772</v>
      </c>
      <c r="G83">
        <f t="shared" si="1"/>
        <v>52.997560975609751</v>
      </c>
    </row>
    <row r="84" spans="3:7" x14ac:dyDescent="0.25">
      <c r="C84">
        <v>1970</v>
      </c>
      <c r="D84">
        <v>52.7</v>
      </c>
      <c r="E84">
        <v>1970</v>
      </c>
      <c r="F84">
        <v>52.679397638758466</v>
      </c>
      <c r="G84">
        <f t="shared" si="1"/>
        <v>52.997560975609751</v>
      </c>
    </row>
    <row r="85" spans="3:7" x14ac:dyDescent="0.25">
      <c r="C85">
        <v>1971</v>
      </c>
      <c r="D85">
        <v>53.3</v>
      </c>
      <c r="E85">
        <v>1971</v>
      </c>
      <c r="F85">
        <v>52.708789814336534</v>
      </c>
      <c r="G85">
        <f t="shared" si="1"/>
        <v>52.997560975609751</v>
      </c>
    </row>
    <row r="86" spans="3:7" x14ac:dyDescent="0.25">
      <c r="C86">
        <v>1972</v>
      </c>
      <c r="D86">
        <v>52.2</v>
      </c>
      <c r="E86">
        <v>1972</v>
      </c>
      <c r="F86">
        <v>52.744186235502347</v>
      </c>
      <c r="G86">
        <f t="shared" si="1"/>
        <v>52.997560975609751</v>
      </c>
    </row>
    <row r="87" spans="3:7" x14ac:dyDescent="0.25">
      <c r="C87">
        <v>1973</v>
      </c>
      <c r="D87">
        <v>54.6</v>
      </c>
      <c r="E87">
        <v>1973</v>
      </c>
      <c r="F87">
        <v>52.788023516882141</v>
      </c>
      <c r="G87">
        <f t="shared" si="1"/>
        <v>52.997560975609751</v>
      </c>
    </row>
    <row r="88" spans="3:7" x14ac:dyDescent="0.25">
      <c r="C88">
        <v>1974</v>
      </c>
      <c r="D88">
        <v>53.4</v>
      </c>
      <c r="E88">
        <v>1974</v>
      </c>
      <c r="F88">
        <v>52.838539527891449</v>
      </c>
      <c r="G88">
        <f t="shared" si="1"/>
        <v>52.997560975609751</v>
      </c>
    </row>
    <row r="89" spans="3:7" x14ac:dyDescent="0.25">
      <c r="C89">
        <v>1975</v>
      </c>
      <c r="D89">
        <v>54</v>
      </c>
      <c r="E89">
        <v>1975</v>
      </c>
      <c r="F89">
        <v>52.892806935641019</v>
      </c>
      <c r="G89">
        <f t="shared" si="1"/>
        <v>52.997560975609751</v>
      </c>
    </row>
    <row r="90" spans="3:7" x14ac:dyDescent="0.25">
      <c r="C90">
        <v>1976</v>
      </c>
      <c r="D90">
        <v>52.5</v>
      </c>
      <c r="E90">
        <v>1976</v>
      </c>
      <c r="F90">
        <v>52.946234865739733</v>
      </c>
      <c r="G90">
        <f t="shared" si="1"/>
        <v>52.997560975609751</v>
      </c>
    </row>
    <row r="91" spans="3:7" x14ac:dyDescent="0.25">
      <c r="C91">
        <v>1977</v>
      </c>
      <c r="D91">
        <v>53.2</v>
      </c>
      <c r="E91">
        <v>1977</v>
      </c>
      <c r="F91">
        <v>52.995908742068863</v>
      </c>
      <c r="G91">
        <f t="shared" si="1"/>
        <v>52.997560975609751</v>
      </c>
    </row>
    <row r="92" spans="3:7" x14ac:dyDescent="0.25">
      <c r="C92">
        <v>1978</v>
      </c>
      <c r="D92">
        <v>51.5</v>
      </c>
      <c r="E92">
        <v>1978</v>
      </c>
      <c r="F92">
        <v>53.043514308439498</v>
      </c>
      <c r="G92">
        <f t="shared" si="1"/>
        <v>52.997560975609751</v>
      </c>
    </row>
    <row r="93" spans="3:7" x14ac:dyDescent="0.25">
      <c r="C93">
        <v>1979</v>
      </c>
      <c r="D93">
        <v>52.7</v>
      </c>
      <c r="E93">
        <v>1979</v>
      </c>
      <c r="F93">
        <v>53.09016316970898</v>
      </c>
      <c r="G93">
        <f t="shared" si="1"/>
        <v>52.997560975609751</v>
      </c>
    </row>
    <row r="94" spans="3:7" x14ac:dyDescent="0.25">
      <c r="C94">
        <v>1980</v>
      </c>
      <c r="D94">
        <v>52.9</v>
      </c>
      <c r="E94">
        <v>1980</v>
      </c>
      <c r="F94">
        <v>53.134177077641958</v>
      </c>
      <c r="G94">
        <f t="shared" si="1"/>
        <v>52.997560975609751</v>
      </c>
    </row>
    <row r="95" spans="3:7" x14ac:dyDescent="0.25">
      <c r="C95">
        <v>1981</v>
      </c>
      <c r="D95">
        <v>52.6</v>
      </c>
      <c r="E95">
        <v>1981</v>
      </c>
      <c r="F95">
        <v>53.174722994455649</v>
      </c>
      <c r="G95">
        <f t="shared" si="1"/>
        <v>52.997560975609751</v>
      </c>
    </row>
    <row r="96" spans="3:7" x14ac:dyDescent="0.25">
      <c r="C96">
        <v>1982</v>
      </c>
      <c r="D96">
        <v>52.6</v>
      </c>
      <c r="E96">
        <v>1982</v>
      </c>
      <c r="F96">
        <v>53.212868235620221</v>
      </c>
      <c r="G96">
        <f t="shared" si="1"/>
        <v>52.997560975609751</v>
      </c>
    </row>
    <row r="97" spans="3:7" x14ac:dyDescent="0.25">
      <c r="C97">
        <v>1983</v>
      </c>
      <c r="D97">
        <v>53.8</v>
      </c>
      <c r="E97">
        <v>1983</v>
      </c>
      <c r="F97">
        <v>53.249840472020729</v>
      </c>
      <c r="G97">
        <f t="shared" si="1"/>
        <v>52.997560975609751</v>
      </c>
    </row>
    <row r="98" spans="3:7" x14ac:dyDescent="0.25">
      <c r="C98">
        <v>1984</v>
      </c>
      <c r="D98">
        <v>53.4</v>
      </c>
      <c r="E98">
        <v>1984</v>
      </c>
      <c r="F98">
        <v>53.286563554234469</v>
      </c>
      <c r="G98">
        <f t="shared" si="1"/>
        <v>52.997560975609751</v>
      </c>
    </row>
    <row r="99" spans="3:7" x14ac:dyDescent="0.25">
      <c r="C99">
        <v>1985</v>
      </c>
      <c r="D99">
        <v>53.8</v>
      </c>
      <c r="E99">
        <v>1985</v>
      </c>
      <c r="F99">
        <v>53.325493023009599</v>
      </c>
      <c r="G99">
        <f t="shared" si="1"/>
        <v>52.997560975609751</v>
      </c>
    </row>
    <row r="100" spans="3:7" x14ac:dyDescent="0.25">
      <c r="C100">
        <v>1986</v>
      </c>
      <c r="D100">
        <v>53.6</v>
      </c>
      <c r="E100">
        <v>1986</v>
      </c>
      <c r="F100">
        <v>53.373244991648058</v>
      </c>
      <c r="G100">
        <f t="shared" si="1"/>
        <v>52.997560975609751</v>
      </c>
    </row>
    <row r="101" spans="3:7" x14ac:dyDescent="0.25">
      <c r="C101">
        <v>1987</v>
      </c>
      <c r="D101">
        <v>53.5</v>
      </c>
      <c r="E101">
        <v>1987</v>
      </c>
      <c r="F101">
        <v>53.434477713663782</v>
      </c>
      <c r="G101">
        <f t="shared" si="1"/>
        <v>52.997560975609751</v>
      </c>
    </row>
    <row r="102" spans="3:7" x14ac:dyDescent="0.25">
      <c r="C102">
        <v>1988</v>
      </c>
      <c r="D102">
        <v>52.7</v>
      </c>
      <c r="E102">
        <v>1988</v>
      </c>
      <c r="F102">
        <v>53.505824880859123</v>
      </c>
      <c r="G102">
        <f t="shared" si="1"/>
        <v>52.997560975609751</v>
      </c>
    </row>
    <row r="103" spans="3:7" x14ac:dyDescent="0.25">
      <c r="C103">
        <v>1989</v>
      </c>
      <c r="D103">
        <v>52.7</v>
      </c>
      <c r="E103">
        <v>1989</v>
      </c>
      <c r="F103">
        <v>53.583377186863608</v>
      </c>
      <c r="G103">
        <f t="shared" si="1"/>
        <v>52.997560975609751</v>
      </c>
    </row>
    <row r="104" spans="3:7" x14ac:dyDescent="0.25">
      <c r="C104">
        <v>1990</v>
      </c>
      <c r="D104">
        <v>55.7</v>
      </c>
      <c r="E104">
        <v>1990</v>
      </c>
      <c r="F104">
        <v>53.663851161565127</v>
      </c>
      <c r="G104">
        <f t="shared" si="1"/>
        <v>52.997560975609751</v>
      </c>
    </row>
    <row r="105" spans="3:7" x14ac:dyDescent="0.25">
      <c r="C105">
        <v>1991</v>
      </c>
      <c r="D105">
        <v>55.5</v>
      </c>
      <c r="E105">
        <v>1991</v>
      </c>
      <c r="F105">
        <v>53.743038969041699</v>
      </c>
      <c r="G105">
        <f t="shared" si="1"/>
        <v>52.997560975609751</v>
      </c>
    </row>
    <row r="106" spans="3:7" x14ac:dyDescent="0.25">
      <c r="C106">
        <v>1992</v>
      </c>
      <c r="D106">
        <v>52.4</v>
      </c>
      <c r="E106">
        <v>1992</v>
      </c>
      <c r="F106">
        <v>53.817053507193108</v>
      </c>
      <c r="G106">
        <f t="shared" si="1"/>
        <v>52.997560975609751</v>
      </c>
    </row>
    <row r="107" spans="3:7" x14ac:dyDescent="0.25">
      <c r="C107">
        <v>1993</v>
      </c>
      <c r="D107">
        <v>53.5</v>
      </c>
      <c r="E107">
        <v>1993</v>
      </c>
      <c r="F107">
        <v>53.885527785169685</v>
      </c>
      <c r="G107">
        <f t="shared" si="1"/>
        <v>52.997560975609751</v>
      </c>
    </row>
    <row r="108" spans="3:7" x14ac:dyDescent="0.25">
      <c r="C108">
        <v>1994</v>
      </c>
      <c r="D108">
        <v>53.5</v>
      </c>
      <c r="E108">
        <v>1994</v>
      </c>
      <c r="F108">
        <v>53.951071801089995</v>
      </c>
      <c r="G108">
        <f t="shared" si="1"/>
        <v>52.997560975609751</v>
      </c>
    </row>
    <row r="109" spans="3:7" x14ac:dyDescent="0.25">
      <c r="C109">
        <v>1995</v>
      </c>
      <c r="D109">
        <v>53.7</v>
      </c>
      <c r="E109">
        <v>1995</v>
      </c>
      <c r="F109">
        <v>54.016008867447596</v>
      </c>
      <c r="G109">
        <f t="shared" si="1"/>
        <v>52.997560975609751</v>
      </c>
    </row>
    <row r="110" spans="3:7" x14ac:dyDescent="0.25">
      <c r="C110">
        <v>1996</v>
      </c>
      <c r="D110">
        <v>52.7</v>
      </c>
      <c r="E110">
        <v>1996</v>
      </c>
      <c r="F110">
        <v>54.081984377716047</v>
      </c>
      <c r="G110">
        <f t="shared" si="1"/>
        <v>52.997560975609751</v>
      </c>
    </row>
    <row r="111" spans="3:7" x14ac:dyDescent="0.25">
      <c r="C111">
        <v>1997</v>
      </c>
      <c r="D111">
        <v>53.3</v>
      </c>
      <c r="E111">
        <v>1997</v>
      </c>
      <c r="F111">
        <v>54.148835145583412</v>
      </c>
      <c r="G111">
        <f t="shared" si="1"/>
        <v>52.997560975609751</v>
      </c>
    </row>
    <row r="112" spans="3:7" x14ac:dyDescent="0.25">
      <c r="C112">
        <v>1998</v>
      </c>
      <c r="D112">
        <v>56.3</v>
      </c>
      <c r="E112">
        <v>1998</v>
      </c>
      <c r="F112">
        <v>54.217711983006168</v>
      </c>
      <c r="G112">
        <f t="shared" si="1"/>
        <v>52.997560975609751</v>
      </c>
    </row>
    <row r="113" spans="3:7" x14ac:dyDescent="0.25">
      <c r="C113">
        <v>1999</v>
      </c>
      <c r="D113">
        <v>55.2</v>
      </c>
      <c r="E113">
        <v>1999</v>
      </c>
      <c r="F113">
        <v>54.292318317426393</v>
      </c>
      <c r="G113">
        <f t="shared" si="1"/>
        <v>52.997560975609751</v>
      </c>
    </row>
    <row r="114" spans="3:7" x14ac:dyDescent="0.25">
      <c r="C114">
        <v>2000</v>
      </c>
      <c r="D114">
        <v>53.5</v>
      </c>
      <c r="E114">
        <v>2000</v>
      </c>
      <c r="F114">
        <v>54.375437721457438</v>
      </c>
      <c r="G114">
        <f t="shared" si="1"/>
        <v>52.997560975609751</v>
      </c>
    </row>
    <row r="115" spans="3:7" x14ac:dyDescent="0.25">
      <c r="C115">
        <v>2001</v>
      </c>
      <c r="D115">
        <v>54.8</v>
      </c>
      <c r="E115">
        <v>2001</v>
      </c>
      <c r="F115">
        <v>54.464537627746097</v>
      </c>
      <c r="G115">
        <f t="shared" si="1"/>
        <v>52.997560975609751</v>
      </c>
    </row>
    <row r="116" spans="3:7" x14ac:dyDescent="0.25">
      <c r="C116">
        <v>2002</v>
      </c>
      <c r="D116">
        <v>55.5</v>
      </c>
      <c r="E116">
        <v>2002</v>
      </c>
      <c r="F116">
        <v>54.554610412383333</v>
      </c>
      <c r="G116">
        <f t="shared" si="1"/>
        <v>52.997560975609751</v>
      </c>
    </row>
    <row r="117" spans="3:7" x14ac:dyDescent="0.25">
      <c r="C117">
        <v>2003</v>
      </c>
      <c r="D117">
        <v>53.1</v>
      </c>
      <c r="E117">
        <v>2003</v>
      </c>
      <c r="F117">
        <v>54.632545401607068</v>
      </c>
      <c r="G117">
        <f t="shared" si="1"/>
        <v>52.997560975609751</v>
      </c>
    </row>
    <row r="118" spans="3:7" x14ac:dyDescent="0.25">
      <c r="C118">
        <v>2004</v>
      </c>
      <c r="D118">
        <v>54.3</v>
      </c>
      <c r="E118">
        <v>2004</v>
      </c>
      <c r="F118">
        <v>54.700472108628375</v>
      </c>
      <c r="G118">
        <f t="shared" si="1"/>
        <v>52.997560975609751</v>
      </c>
    </row>
    <row r="119" spans="3:7" x14ac:dyDescent="0.25">
      <c r="C119">
        <v>2005</v>
      </c>
      <c r="D119">
        <v>54.6</v>
      </c>
      <c r="E119">
        <v>2005</v>
      </c>
      <c r="F119">
        <v>54.768097551243606</v>
      </c>
      <c r="G119">
        <f t="shared" si="1"/>
        <v>52.997560975609751</v>
      </c>
    </row>
    <row r="120" spans="3:7" x14ac:dyDescent="0.25">
      <c r="C120">
        <v>2006</v>
      </c>
      <c r="D120">
        <v>56.2</v>
      </c>
      <c r="E120">
        <v>2006</v>
      </c>
      <c r="F120">
        <v>54.836997730883176</v>
      </c>
      <c r="G120">
        <f t="shared" si="1"/>
        <v>52.997560975609751</v>
      </c>
    </row>
    <row r="121" spans="3:7" x14ac:dyDescent="0.25">
      <c r="C121">
        <v>2007</v>
      </c>
      <c r="D121">
        <v>55</v>
      </c>
      <c r="E121">
        <v>2007</v>
      </c>
      <c r="F121">
        <v>54.906945365287932</v>
      </c>
      <c r="G121">
        <f t="shared" si="1"/>
        <v>52.997560975609751</v>
      </c>
    </row>
    <row r="122" spans="3:7" x14ac:dyDescent="0.25">
      <c r="C122">
        <v>2008</v>
      </c>
      <c r="D122">
        <v>55</v>
      </c>
      <c r="E122">
        <v>2008</v>
      </c>
      <c r="F122">
        <v>54.977402397895709</v>
      </c>
      <c r="G122">
        <f t="shared" si="1"/>
        <v>52.997560975609751</v>
      </c>
    </row>
    <row r="123" spans="3:7" x14ac:dyDescent="0.25">
      <c r="C123">
        <v>2009</v>
      </c>
      <c r="D123">
        <v>54</v>
      </c>
      <c r="E123">
        <v>2009</v>
      </c>
      <c r="F123">
        <v>55.047950443061204</v>
      </c>
      <c r="G123">
        <f t="shared" si="1"/>
        <v>52.997560975609751</v>
      </c>
    </row>
    <row r="124" spans="3:7" x14ac:dyDescent="0.25">
      <c r="C124">
        <v>2010</v>
      </c>
      <c r="D124">
        <v>55.8</v>
      </c>
      <c r="E124">
        <v>2010</v>
      </c>
      <c r="F124">
        <v>55.118342352136935</v>
      </c>
      <c r="G124">
        <f t="shared" si="1"/>
        <v>52.997560975609751</v>
      </c>
    </row>
    <row r="125" spans="3:7" x14ac:dyDescent="0.25">
      <c r="C125">
        <v>2011</v>
      </c>
      <c r="D125">
        <v>56.2</v>
      </c>
      <c r="E125">
        <v>2011</v>
      </c>
      <c r="F125">
        <v>55.188509535649793</v>
      </c>
      <c r="G125">
        <f t="shared" si="1"/>
        <v>52.997560975609751</v>
      </c>
    </row>
    <row r="126" spans="3:7" x14ac:dyDescent="0.25">
      <c r="C126">
        <v>2012</v>
      </c>
      <c r="D126">
        <v>57</v>
      </c>
      <c r="E126">
        <v>2012</v>
      </c>
      <c r="F126">
        <v>55.258310927300421</v>
      </c>
      <c r="G126">
        <f t="shared" si="1"/>
        <v>52.997560975609751</v>
      </c>
    </row>
    <row r="127" spans="3:7" x14ac:dyDescent="0.25">
      <c r="C127">
        <v>2013</v>
      </c>
      <c r="D127">
        <v>54.3</v>
      </c>
      <c r="E127">
        <v>2013</v>
      </c>
      <c r="F127">
        <v>55.327434973532029</v>
      </c>
      <c r="G127">
        <f t="shared" si="1"/>
        <v>52.997560975609751</v>
      </c>
    </row>
    <row r="128" spans="3:7" x14ac:dyDescent="0.25">
      <c r="C128">
        <v>2014</v>
      </c>
      <c r="D128">
        <v>53.1</v>
      </c>
      <c r="E128">
        <v>2014</v>
      </c>
      <c r="F128">
        <v>55.395419106919185</v>
      </c>
      <c r="G128">
        <f t="shared" si="1"/>
        <v>52.997560975609751</v>
      </c>
    </row>
    <row r="129" spans="3:7" x14ac:dyDescent="0.25">
      <c r="C129">
        <v>2015</v>
      </c>
      <c r="D129">
        <v>55.2</v>
      </c>
      <c r="E129">
        <v>2015</v>
      </c>
      <c r="F129">
        <v>55.462056966416725</v>
      </c>
      <c r="G129">
        <f t="shared" si="1"/>
        <v>52.997560975609751</v>
      </c>
    </row>
    <row r="130" spans="3:7" x14ac:dyDescent="0.25">
      <c r="C130">
        <v>2016</v>
      </c>
      <c r="D130">
        <v>56.1</v>
      </c>
      <c r="E130">
        <v>2016</v>
      </c>
      <c r="F130">
        <v>55.527561557342779</v>
      </c>
      <c r="G130">
        <f t="shared" si="1"/>
        <v>52.997560975609751</v>
      </c>
    </row>
    <row r="131" spans="3:7" x14ac:dyDescent="0.25">
      <c r="C131">
        <v>2017</v>
      </c>
      <c r="D131">
        <v>55.9</v>
      </c>
      <c r="E131">
        <v>2017</v>
      </c>
      <c r="F131">
        <v>55.592237541859276</v>
      </c>
      <c r="G131">
        <f t="shared" si="1"/>
        <v>52.997560975609751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G131"/>
  <sheetViews>
    <sheetView workbookViewId="0">
      <selection activeCell="L4" sqref="L4"/>
    </sheetView>
  </sheetViews>
  <sheetFormatPr defaultRowHeight="15" x14ac:dyDescent="0.25"/>
  <cols>
    <col min="6" max="6" width="12.28515625" customWidth="1"/>
  </cols>
  <sheetData>
    <row r="1" spans="3:7" x14ac:dyDescent="0.25">
      <c r="F1" t="s">
        <v>9</v>
      </c>
    </row>
    <row r="2" spans="3:7" x14ac:dyDescent="0.25">
      <c r="C2" s="1" t="s">
        <v>10</v>
      </c>
      <c r="F2" t="s">
        <v>3</v>
      </c>
    </row>
    <row r="3" spans="3:7" x14ac:dyDescent="0.25">
      <c r="C3" t="s">
        <v>11</v>
      </c>
      <c r="F3" t="s">
        <v>4</v>
      </c>
    </row>
    <row r="4" spans="3:7" x14ac:dyDescent="0.25">
      <c r="C4" t="s">
        <v>4</v>
      </c>
      <c r="F4" t="s">
        <v>5</v>
      </c>
    </row>
    <row r="5" spans="3:7" x14ac:dyDescent="0.25">
      <c r="C5" t="s">
        <v>5</v>
      </c>
      <c r="F5" t="s">
        <v>0</v>
      </c>
    </row>
    <row r="6" spans="3:7" x14ac:dyDescent="0.25">
      <c r="C6" s="1" t="s">
        <v>0</v>
      </c>
      <c r="F6" t="s">
        <v>1</v>
      </c>
    </row>
    <row r="7" spans="3:7" x14ac:dyDescent="0.25">
      <c r="C7" s="1" t="s">
        <v>2</v>
      </c>
      <c r="F7" t="s">
        <v>2</v>
      </c>
    </row>
    <row r="8" spans="3:7" x14ac:dyDescent="0.25">
      <c r="C8" s="1" t="s">
        <v>6</v>
      </c>
      <c r="D8" t="s">
        <v>7</v>
      </c>
      <c r="F8" t="s">
        <v>16</v>
      </c>
      <c r="G8" t="str">
        <f>"1901-2000 Average Temperature = 52.2°F"</f>
        <v>1901-2000 Average Temperature = 52.2°F</v>
      </c>
    </row>
    <row r="9" spans="3:7" x14ac:dyDescent="0.25">
      <c r="C9">
        <v>1895</v>
      </c>
      <c r="D9">
        <f>+AVERAGE('Data -- NJ Temp'!D9,'Data -- PA Temp'!E11)</f>
        <v>50.55</v>
      </c>
      <c r="E9">
        <v>1895</v>
      </c>
      <c r="F9">
        <f t="array" ref="F9:F131">+LOESS(C9:C131,D9:D131,E9:E131,30)</f>
        <v>51.267158823673228</v>
      </c>
      <c r="G9">
        <f>+AVERAGE($D$9:$D$131)</f>
        <v>52.243089430894315</v>
      </c>
    </row>
    <row r="10" spans="3:7" x14ac:dyDescent="0.25">
      <c r="C10">
        <v>1896</v>
      </c>
      <c r="D10">
        <f>+AVERAGE('Data -- NJ Temp'!D10,'Data -- PA Temp'!E12)</f>
        <v>51.55</v>
      </c>
      <c r="E10">
        <v>1896</v>
      </c>
      <c r="F10">
        <v>51.248411593481087</v>
      </c>
      <c r="G10">
        <f t="shared" ref="G10:G73" si="0">+AVERAGE($D$9:$D$131)</f>
        <v>52.243089430894315</v>
      </c>
    </row>
    <row r="11" spans="3:7" x14ac:dyDescent="0.25">
      <c r="C11">
        <v>1897</v>
      </c>
      <c r="D11">
        <f>+AVERAGE('Data -- NJ Temp'!D11,'Data -- PA Temp'!E13)</f>
        <v>51.400000000000006</v>
      </c>
      <c r="E11">
        <v>1897</v>
      </c>
      <c r="F11">
        <v>51.231113298259395</v>
      </c>
      <c r="G11">
        <f t="shared" si="0"/>
        <v>52.243089430894315</v>
      </c>
    </row>
    <row r="12" spans="3:7" x14ac:dyDescent="0.25">
      <c r="C12">
        <v>1898</v>
      </c>
      <c r="D12">
        <f>+AVERAGE('Data -- NJ Temp'!D12,'Data -- PA Temp'!E14)</f>
        <v>52.55</v>
      </c>
      <c r="E12">
        <v>1898</v>
      </c>
      <c r="F12">
        <v>51.215555464758857</v>
      </c>
      <c r="G12">
        <f t="shared" si="0"/>
        <v>52.243089430894315</v>
      </c>
    </row>
    <row r="13" spans="3:7" x14ac:dyDescent="0.25">
      <c r="C13">
        <v>1899</v>
      </c>
      <c r="D13">
        <f>+AVERAGE('Data -- NJ Temp'!D13,'Data -- PA Temp'!E15)</f>
        <v>51.099999999999994</v>
      </c>
      <c r="E13">
        <v>1899</v>
      </c>
      <c r="F13">
        <v>51.201937971210718</v>
      </c>
      <c r="G13">
        <f t="shared" si="0"/>
        <v>52.243089430894315</v>
      </c>
    </row>
    <row r="14" spans="3:7" x14ac:dyDescent="0.25">
      <c r="C14">
        <v>1900</v>
      </c>
      <c r="D14">
        <f>+AVERAGE('Data -- NJ Temp'!D14,'Data -- PA Temp'!E16)</f>
        <v>52.650000000000006</v>
      </c>
      <c r="E14">
        <v>1900</v>
      </c>
      <c r="F14">
        <v>51.190224843506037</v>
      </c>
      <c r="G14">
        <f t="shared" si="0"/>
        <v>52.243089430894315</v>
      </c>
    </row>
    <row r="15" spans="3:7" x14ac:dyDescent="0.25">
      <c r="C15">
        <v>1901</v>
      </c>
      <c r="D15">
        <f>+AVERAGE('Data -- NJ Temp'!D15,'Data -- PA Temp'!E17)</f>
        <v>50.55</v>
      </c>
      <c r="E15">
        <v>1901</v>
      </c>
      <c r="F15">
        <v>51.18022921504344</v>
      </c>
      <c r="G15">
        <f t="shared" si="0"/>
        <v>52.243089430894315</v>
      </c>
    </row>
    <row r="16" spans="3:7" x14ac:dyDescent="0.25">
      <c r="C16">
        <v>1902</v>
      </c>
      <c r="D16">
        <f>+AVERAGE('Data -- NJ Temp'!D16,'Data -- PA Temp'!E18)</f>
        <v>51.25</v>
      </c>
      <c r="E16">
        <v>1902</v>
      </c>
      <c r="F16">
        <v>51.171471946702127</v>
      </c>
      <c r="G16">
        <f t="shared" si="0"/>
        <v>52.243089430894315</v>
      </c>
    </row>
    <row r="17" spans="3:7" x14ac:dyDescent="0.25">
      <c r="C17">
        <v>1903</v>
      </c>
      <c r="D17">
        <f>+AVERAGE('Data -- NJ Temp'!D17,'Data -- PA Temp'!E19)</f>
        <v>51.05</v>
      </c>
      <c r="E17">
        <v>1903</v>
      </c>
      <c r="F17">
        <v>51.163338208149021</v>
      </c>
      <c r="G17">
        <f t="shared" si="0"/>
        <v>52.243089430894315</v>
      </c>
    </row>
    <row r="18" spans="3:7" x14ac:dyDescent="0.25">
      <c r="C18">
        <v>1904</v>
      </c>
      <c r="D18">
        <f>+AVERAGE('Data -- NJ Temp'!D18,'Data -- PA Temp'!E20)</f>
        <v>48.55</v>
      </c>
      <c r="E18">
        <v>1904</v>
      </c>
      <c r="F18">
        <v>51.155003973366931</v>
      </c>
      <c r="G18">
        <f t="shared" si="0"/>
        <v>52.243089430894315</v>
      </c>
    </row>
    <row r="19" spans="3:7" x14ac:dyDescent="0.25">
      <c r="C19">
        <v>1905</v>
      </c>
      <c r="D19">
        <f>+AVERAGE('Data -- NJ Temp'!D19,'Data -- PA Temp'!E21)</f>
        <v>50.5</v>
      </c>
      <c r="E19">
        <v>1905</v>
      </c>
      <c r="F19">
        <v>51.1454406831227</v>
      </c>
      <c r="G19">
        <f t="shared" si="0"/>
        <v>52.243089430894315</v>
      </c>
    </row>
    <row r="20" spans="3:7" x14ac:dyDescent="0.25">
      <c r="C20">
        <v>1906</v>
      </c>
      <c r="D20">
        <f>+AVERAGE('Data -- NJ Temp'!D20,'Data -- PA Temp'!E22)</f>
        <v>52.2</v>
      </c>
      <c r="E20">
        <v>1906</v>
      </c>
      <c r="F20">
        <v>51.133743183662574</v>
      </c>
      <c r="G20">
        <f t="shared" si="0"/>
        <v>52.243089430894315</v>
      </c>
    </row>
    <row r="21" spans="3:7" x14ac:dyDescent="0.25">
      <c r="C21">
        <v>1907</v>
      </c>
      <c r="D21">
        <f>+AVERAGE('Data -- NJ Temp'!D21,'Data -- PA Temp'!E23)</f>
        <v>49.35</v>
      </c>
      <c r="E21">
        <v>1907</v>
      </c>
      <c r="F21">
        <v>51.118920775136672</v>
      </c>
      <c r="G21">
        <f t="shared" si="0"/>
        <v>52.243089430894315</v>
      </c>
    </row>
    <row r="22" spans="3:7" x14ac:dyDescent="0.25">
      <c r="C22">
        <v>1908</v>
      </c>
      <c r="D22">
        <f>+AVERAGE('Data -- NJ Temp'!D22,'Data -- PA Temp'!E24)</f>
        <v>51.85</v>
      </c>
      <c r="E22">
        <v>1908</v>
      </c>
      <c r="F22">
        <v>51.099701050984677</v>
      </c>
      <c r="G22">
        <f t="shared" si="0"/>
        <v>52.243089430894315</v>
      </c>
    </row>
    <row r="23" spans="3:7" x14ac:dyDescent="0.25">
      <c r="C23">
        <v>1909</v>
      </c>
      <c r="D23">
        <f>+AVERAGE('Data -- NJ Temp'!D23,'Data -- PA Temp'!E25)</f>
        <v>51.2</v>
      </c>
      <c r="E23">
        <v>1909</v>
      </c>
      <c r="F23">
        <v>51.076977177528583</v>
      </c>
      <c r="G23">
        <f t="shared" si="0"/>
        <v>52.243089430894315</v>
      </c>
    </row>
    <row r="24" spans="3:7" x14ac:dyDescent="0.25">
      <c r="C24">
        <v>1910</v>
      </c>
      <c r="D24">
        <f>+AVERAGE('Data -- NJ Temp'!D24,'Data -- PA Temp'!E26)</f>
        <v>51.05</v>
      </c>
      <c r="E24">
        <v>1910</v>
      </c>
      <c r="F24">
        <v>51.062478892290329</v>
      </c>
      <c r="G24">
        <f t="shared" si="0"/>
        <v>52.243089430894315</v>
      </c>
    </row>
    <row r="25" spans="3:7" x14ac:dyDescent="0.25">
      <c r="C25">
        <v>1911</v>
      </c>
      <c r="D25">
        <f>+AVERAGE('Data -- NJ Temp'!D25,'Data -- PA Temp'!E27)</f>
        <v>51.95</v>
      </c>
      <c r="E25">
        <v>1911</v>
      </c>
      <c r="F25">
        <v>51.092784572360443</v>
      </c>
      <c r="G25">
        <f t="shared" si="0"/>
        <v>52.243089430894315</v>
      </c>
    </row>
    <row r="26" spans="3:7" x14ac:dyDescent="0.25">
      <c r="C26">
        <v>1912</v>
      </c>
      <c r="D26">
        <f>+AVERAGE('Data -- NJ Temp'!D26,'Data -- PA Temp'!E28)</f>
        <v>50.599999999999994</v>
      </c>
      <c r="E26">
        <v>1912</v>
      </c>
      <c r="F26">
        <v>51.138473393921451</v>
      </c>
      <c r="G26">
        <f t="shared" si="0"/>
        <v>52.243089430894315</v>
      </c>
    </row>
    <row r="27" spans="3:7" x14ac:dyDescent="0.25">
      <c r="C27">
        <v>1913</v>
      </c>
      <c r="D27">
        <f>+AVERAGE('Data -- NJ Temp'!D27,'Data -- PA Temp'!E29)</f>
        <v>53.35</v>
      </c>
      <c r="E27">
        <v>1913</v>
      </c>
      <c r="F27">
        <v>51.191463240190942</v>
      </c>
      <c r="G27">
        <f t="shared" si="0"/>
        <v>52.243089430894315</v>
      </c>
    </row>
    <row r="28" spans="3:7" x14ac:dyDescent="0.25">
      <c r="C28">
        <v>1914</v>
      </c>
      <c r="D28">
        <f>+AVERAGE('Data -- NJ Temp'!D28,'Data -- PA Temp'!E30)</f>
        <v>50.45</v>
      </c>
      <c r="E28">
        <v>1914</v>
      </c>
      <c r="F28">
        <v>51.242328939392451</v>
      </c>
      <c r="G28">
        <f t="shared" si="0"/>
        <v>52.243089430894315</v>
      </c>
    </row>
    <row r="29" spans="3:7" x14ac:dyDescent="0.25">
      <c r="C29">
        <v>1915</v>
      </c>
      <c r="D29">
        <f>+AVERAGE('Data -- NJ Temp'!D29,'Data -- PA Temp'!E31)</f>
        <v>51.5</v>
      </c>
      <c r="E29">
        <v>1915</v>
      </c>
      <c r="F29">
        <v>51.282722909944198</v>
      </c>
      <c r="G29">
        <f t="shared" si="0"/>
        <v>52.243089430894315</v>
      </c>
    </row>
    <row r="30" spans="3:7" x14ac:dyDescent="0.25">
      <c r="C30">
        <v>1916</v>
      </c>
      <c r="D30">
        <f>+AVERAGE('Data -- NJ Temp'!D30,'Data -- PA Temp'!E32)</f>
        <v>50.6</v>
      </c>
      <c r="E30">
        <v>1916</v>
      </c>
      <c r="F30">
        <v>51.309370332036515</v>
      </c>
      <c r="G30">
        <f t="shared" si="0"/>
        <v>52.243089430894315</v>
      </c>
    </row>
    <row r="31" spans="3:7" x14ac:dyDescent="0.25">
      <c r="C31">
        <v>1917</v>
      </c>
      <c r="D31">
        <f>+AVERAGE('Data -- NJ Temp'!D31,'Data -- PA Temp'!E33)</f>
        <v>49.05</v>
      </c>
      <c r="E31">
        <v>1917</v>
      </c>
      <c r="F31">
        <v>51.322219611395965</v>
      </c>
      <c r="G31">
        <f t="shared" si="0"/>
        <v>52.243089430894315</v>
      </c>
    </row>
    <row r="32" spans="3:7" x14ac:dyDescent="0.25">
      <c r="C32">
        <v>1918</v>
      </c>
      <c r="D32">
        <f>+AVERAGE('Data -- NJ Temp'!D32,'Data -- PA Temp'!E34)</f>
        <v>51.25</v>
      </c>
      <c r="E32">
        <v>1918</v>
      </c>
      <c r="F32">
        <v>51.326832047917151</v>
      </c>
      <c r="G32">
        <f t="shared" si="0"/>
        <v>52.243089430894315</v>
      </c>
    </row>
    <row r="33" spans="3:7" x14ac:dyDescent="0.25">
      <c r="C33">
        <v>1919</v>
      </c>
      <c r="D33">
        <f>+AVERAGE('Data -- NJ Temp'!D33,'Data -- PA Temp'!E35)</f>
        <v>52.5</v>
      </c>
      <c r="E33">
        <v>1919</v>
      </c>
      <c r="F33">
        <v>51.335592226392372</v>
      </c>
      <c r="G33">
        <f t="shared" si="0"/>
        <v>52.243089430894315</v>
      </c>
    </row>
    <row r="34" spans="3:7" x14ac:dyDescent="0.25">
      <c r="C34">
        <v>1920</v>
      </c>
      <c r="D34">
        <f>+AVERAGE('Data -- NJ Temp'!D34,'Data -- PA Temp'!E36)</f>
        <v>50.8</v>
      </c>
      <c r="E34">
        <v>1920</v>
      </c>
      <c r="F34">
        <v>51.356455665957419</v>
      </c>
      <c r="G34">
        <f t="shared" si="0"/>
        <v>52.243089430894315</v>
      </c>
    </row>
    <row r="35" spans="3:7" x14ac:dyDescent="0.25">
      <c r="C35">
        <v>1921</v>
      </c>
      <c r="D35">
        <f>+AVERAGE('Data -- NJ Temp'!D35,'Data -- PA Temp'!E37)</f>
        <v>53.7</v>
      </c>
      <c r="E35">
        <v>1921</v>
      </c>
      <c r="F35">
        <v>51.391524569133985</v>
      </c>
      <c r="G35">
        <f t="shared" si="0"/>
        <v>52.243089430894315</v>
      </c>
    </row>
    <row r="36" spans="3:7" x14ac:dyDescent="0.25">
      <c r="C36">
        <v>1922</v>
      </c>
      <c r="D36">
        <f>+AVERAGE('Data -- NJ Temp'!D36,'Data -- PA Temp'!E38)</f>
        <v>52.150000000000006</v>
      </c>
      <c r="E36">
        <v>1922</v>
      </c>
      <c r="F36">
        <v>51.440530816623586</v>
      </c>
      <c r="G36">
        <f t="shared" si="0"/>
        <v>52.243089430894315</v>
      </c>
    </row>
    <row r="37" spans="3:7" x14ac:dyDescent="0.25">
      <c r="C37">
        <v>1923</v>
      </c>
      <c r="D37">
        <f>+AVERAGE('Data -- NJ Temp'!D37,'Data -- PA Temp'!E39)</f>
        <v>51.5</v>
      </c>
      <c r="E37">
        <v>1923</v>
      </c>
      <c r="F37">
        <v>51.497527315972462</v>
      </c>
      <c r="G37">
        <f t="shared" si="0"/>
        <v>52.243089430894315</v>
      </c>
    </row>
    <row r="38" spans="3:7" x14ac:dyDescent="0.25">
      <c r="C38">
        <v>1924</v>
      </c>
      <c r="D38">
        <f>+AVERAGE('Data -- NJ Temp'!D38,'Data -- PA Temp'!E40)</f>
        <v>50.05</v>
      </c>
      <c r="E38">
        <v>1924</v>
      </c>
      <c r="F38">
        <v>51.556549338836426</v>
      </c>
      <c r="G38">
        <f t="shared" si="0"/>
        <v>52.243089430894315</v>
      </c>
    </row>
    <row r="39" spans="3:7" x14ac:dyDescent="0.25">
      <c r="C39">
        <v>1925</v>
      </c>
      <c r="D39">
        <f>+AVERAGE('Data -- NJ Temp'!D39,'Data -- PA Temp'!E41)</f>
        <v>51.6</v>
      </c>
      <c r="E39">
        <v>1925</v>
      </c>
      <c r="F39">
        <v>51.613841375957186</v>
      </c>
      <c r="G39">
        <f t="shared" si="0"/>
        <v>52.243089430894315</v>
      </c>
    </row>
    <row r="40" spans="3:7" x14ac:dyDescent="0.25">
      <c r="C40">
        <v>1926</v>
      </c>
      <c r="D40">
        <f>+AVERAGE('Data -- NJ Temp'!D40,'Data -- PA Temp'!E42)</f>
        <v>49.599999999999994</v>
      </c>
      <c r="E40">
        <v>1926</v>
      </c>
      <c r="F40">
        <v>51.667447930272893</v>
      </c>
      <c r="G40">
        <f t="shared" si="0"/>
        <v>52.243089430894315</v>
      </c>
    </row>
    <row r="41" spans="3:7" x14ac:dyDescent="0.25">
      <c r="C41">
        <v>1927</v>
      </c>
      <c r="D41">
        <f>+AVERAGE('Data -- NJ Temp'!D41,'Data -- PA Temp'!E43)</f>
        <v>51.6</v>
      </c>
      <c r="E41">
        <v>1927</v>
      </c>
      <c r="F41">
        <v>51.714582896676077</v>
      </c>
      <c r="G41">
        <f t="shared" si="0"/>
        <v>52.243089430894315</v>
      </c>
    </row>
    <row r="42" spans="3:7" x14ac:dyDescent="0.25">
      <c r="C42">
        <v>1928</v>
      </c>
      <c r="D42">
        <f>+AVERAGE('Data -- NJ Temp'!D42,'Data -- PA Temp'!E44)</f>
        <v>51.45</v>
      </c>
      <c r="E42">
        <v>1928</v>
      </c>
      <c r="F42">
        <v>51.748066249186905</v>
      </c>
      <c r="G42">
        <f t="shared" si="0"/>
        <v>52.243089430894315</v>
      </c>
    </row>
    <row r="43" spans="3:7" x14ac:dyDescent="0.25">
      <c r="C43">
        <v>1929</v>
      </c>
      <c r="D43">
        <f>+AVERAGE('Data -- NJ Temp'!D43,'Data -- PA Temp'!E45)</f>
        <v>51.85</v>
      </c>
      <c r="E43">
        <v>1929</v>
      </c>
      <c r="F43">
        <v>51.767958847990926</v>
      </c>
      <c r="G43">
        <f t="shared" si="0"/>
        <v>52.243089430894315</v>
      </c>
    </row>
    <row r="44" spans="3:7" x14ac:dyDescent="0.25">
      <c r="C44">
        <v>1930</v>
      </c>
      <c r="D44">
        <f>+AVERAGE('Data -- NJ Temp'!D44,'Data -- PA Temp'!E46)</f>
        <v>52.35</v>
      </c>
      <c r="E44">
        <v>1930</v>
      </c>
      <c r="F44">
        <v>51.778076624317421</v>
      </c>
      <c r="G44">
        <f t="shared" si="0"/>
        <v>52.243089430894315</v>
      </c>
    </row>
    <row r="45" spans="3:7" x14ac:dyDescent="0.25">
      <c r="C45">
        <v>1931</v>
      </c>
      <c r="D45">
        <f>+AVERAGE('Data -- NJ Temp'!D45,'Data -- PA Temp'!E47)</f>
        <v>53.85</v>
      </c>
      <c r="E45">
        <v>1931</v>
      </c>
      <c r="F45">
        <v>51.785291648447021</v>
      </c>
      <c r="G45">
        <f t="shared" si="0"/>
        <v>52.243089430894315</v>
      </c>
    </row>
    <row r="46" spans="3:7" x14ac:dyDescent="0.25">
      <c r="C46">
        <v>1932</v>
      </c>
      <c r="D46">
        <f>+AVERAGE('Data -- NJ Temp'!D46,'Data -- PA Temp'!E48)</f>
        <v>52.8</v>
      </c>
      <c r="E46">
        <v>1932</v>
      </c>
      <c r="F46">
        <v>51.797879480694654</v>
      </c>
      <c r="G46">
        <f t="shared" si="0"/>
        <v>52.243089430894315</v>
      </c>
    </row>
    <row r="47" spans="3:7" x14ac:dyDescent="0.25">
      <c r="C47">
        <v>1933</v>
      </c>
      <c r="D47">
        <f>+AVERAGE('Data -- NJ Temp'!D47,'Data -- PA Temp'!E49)</f>
        <v>52.5</v>
      </c>
      <c r="E47">
        <v>1933</v>
      </c>
      <c r="F47">
        <v>51.81895962262648</v>
      </c>
      <c r="G47">
        <f t="shared" si="0"/>
        <v>52.243089430894315</v>
      </c>
    </row>
    <row r="48" spans="3:7" x14ac:dyDescent="0.25">
      <c r="C48">
        <v>1934</v>
      </c>
      <c r="D48">
        <f>+AVERAGE('Data -- NJ Temp'!D48,'Data -- PA Temp'!E50)</f>
        <v>51.1</v>
      </c>
      <c r="E48">
        <v>1934</v>
      </c>
      <c r="F48">
        <v>51.848025446045398</v>
      </c>
      <c r="G48">
        <f t="shared" si="0"/>
        <v>52.243089430894315</v>
      </c>
    </row>
    <row r="49" spans="3:7" x14ac:dyDescent="0.25">
      <c r="C49">
        <v>1935</v>
      </c>
      <c r="D49">
        <f>+AVERAGE('Data -- NJ Temp'!D49,'Data -- PA Temp'!E51)</f>
        <v>51.05</v>
      </c>
      <c r="E49">
        <v>1935</v>
      </c>
      <c r="F49">
        <v>51.880822119843501</v>
      </c>
      <c r="G49">
        <f t="shared" si="0"/>
        <v>52.243089430894315</v>
      </c>
    </row>
    <row r="50" spans="3:7" x14ac:dyDescent="0.25">
      <c r="C50">
        <v>1936</v>
      </c>
      <c r="D50">
        <f>+AVERAGE('Data -- NJ Temp'!D50,'Data -- PA Temp'!E52)</f>
        <v>51.55</v>
      </c>
      <c r="E50">
        <v>1936</v>
      </c>
      <c r="F50">
        <v>51.909457175339803</v>
      </c>
      <c r="G50">
        <f t="shared" si="0"/>
        <v>52.243089430894315</v>
      </c>
    </row>
    <row r="51" spans="3:7" x14ac:dyDescent="0.25">
      <c r="C51">
        <v>1937</v>
      </c>
      <c r="D51">
        <f>+AVERAGE('Data -- NJ Temp'!D51,'Data -- PA Temp'!E53)</f>
        <v>52.099999999999994</v>
      </c>
      <c r="E51">
        <v>1937</v>
      </c>
      <c r="F51">
        <v>51.931219697695724</v>
      </c>
      <c r="G51">
        <f t="shared" si="0"/>
        <v>52.243089430894315</v>
      </c>
    </row>
    <row r="52" spans="3:7" x14ac:dyDescent="0.25">
      <c r="C52">
        <v>1938</v>
      </c>
      <c r="D52">
        <f>+AVERAGE('Data -- NJ Temp'!D52,'Data -- PA Temp'!E54)</f>
        <v>52.75</v>
      </c>
      <c r="E52">
        <v>1938</v>
      </c>
      <c r="F52">
        <v>51.945127147410581</v>
      </c>
      <c r="G52">
        <f t="shared" si="0"/>
        <v>52.243089430894315</v>
      </c>
    </row>
    <row r="53" spans="3:7" x14ac:dyDescent="0.25">
      <c r="C53">
        <v>1939</v>
      </c>
      <c r="D53">
        <f>+AVERAGE('Data -- NJ Temp'!D53,'Data -- PA Temp'!E55)</f>
        <v>52.400000000000006</v>
      </c>
      <c r="E53">
        <v>1939</v>
      </c>
      <c r="F53">
        <v>51.953257023596215</v>
      </c>
      <c r="G53">
        <f t="shared" si="0"/>
        <v>52.243089430894315</v>
      </c>
    </row>
    <row r="54" spans="3:7" x14ac:dyDescent="0.25">
      <c r="C54">
        <v>1940</v>
      </c>
      <c r="D54">
        <f>+AVERAGE('Data -- NJ Temp'!D54,'Data -- PA Temp'!E56)</f>
        <v>49.400000000000006</v>
      </c>
      <c r="E54">
        <v>1940</v>
      </c>
      <c r="F54">
        <v>51.959562831572683</v>
      </c>
      <c r="G54">
        <f t="shared" si="0"/>
        <v>52.243089430894315</v>
      </c>
    </row>
    <row r="55" spans="3:7" x14ac:dyDescent="0.25">
      <c r="C55">
        <v>1941</v>
      </c>
      <c r="D55">
        <f>+AVERAGE('Data -- NJ Temp'!D55,'Data -- PA Temp'!E57)</f>
        <v>52.45</v>
      </c>
      <c r="E55">
        <v>1941</v>
      </c>
      <c r="F55">
        <v>51.971836862950568</v>
      </c>
      <c r="G55">
        <f t="shared" si="0"/>
        <v>52.243089430894315</v>
      </c>
    </row>
    <row r="56" spans="3:7" x14ac:dyDescent="0.25">
      <c r="C56">
        <v>1942</v>
      </c>
      <c r="D56">
        <f>+AVERAGE('Data -- NJ Temp'!D56,'Data -- PA Temp'!E58)</f>
        <v>52</v>
      </c>
      <c r="E56">
        <v>1942</v>
      </c>
      <c r="F56">
        <v>51.995541622836143</v>
      </c>
      <c r="G56">
        <f t="shared" si="0"/>
        <v>52.243089430894315</v>
      </c>
    </row>
    <row r="57" spans="3:7" x14ac:dyDescent="0.25">
      <c r="C57">
        <v>1943</v>
      </c>
      <c r="D57">
        <f>+AVERAGE('Data -- NJ Temp'!D57,'Data -- PA Temp'!E59)</f>
        <v>51.5</v>
      </c>
      <c r="E57">
        <v>1943</v>
      </c>
      <c r="F57">
        <v>52.032607198347385</v>
      </c>
      <c r="G57">
        <f t="shared" si="0"/>
        <v>52.243089430894315</v>
      </c>
    </row>
    <row r="58" spans="3:7" x14ac:dyDescent="0.25">
      <c r="C58">
        <v>1944</v>
      </c>
      <c r="D58">
        <f>+AVERAGE('Data -- NJ Temp'!D58,'Data -- PA Temp'!E60)</f>
        <v>51.95</v>
      </c>
      <c r="E58">
        <v>1944</v>
      </c>
      <c r="F58">
        <v>52.081156738330954</v>
      </c>
      <c r="G58">
        <f t="shared" si="0"/>
        <v>52.243089430894315</v>
      </c>
    </row>
    <row r="59" spans="3:7" x14ac:dyDescent="0.25">
      <c r="C59">
        <v>1945</v>
      </c>
      <c r="D59">
        <f>+AVERAGE('Data -- NJ Temp'!D59,'Data -- PA Temp'!E61)</f>
        <v>51.95</v>
      </c>
      <c r="E59">
        <v>1945</v>
      </c>
      <c r="F59">
        <v>52.136346946986642</v>
      </c>
      <c r="G59">
        <f t="shared" si="0"/>
        <v>52.243089430894315</v>
      </c>
    </row>
    <row r="60" spans="3:7" x14ac:dyDescent="0.25">
      <c r="C60">
        <v>1946</v>
      </c>
      <c r="D60">
        <f>+AVERAGE('Data -- NJ Temp'!D60,'Data -- PA Temp'!E62)</f>
        <v>53.05</v>
      </c>
      <c r="E60">
        <v>1946</v>
      </c>
      <c r="F60">
        <v>52.189109509472651</v>
      </c>
      <c r="G60">
        <f t="shared" si="0"/>
        <v>52.243089430894315</v>
      </c>
    </row>
    <row r="61" spans="3:7" x14ac:dyDescent="0.25">
      <c r="C61">
        <v>1947</v>
      </c>
      <c r="D61">
        <f>+AVERAGE('Data -- NJ Temp'!D61,'Data -- PA Temp'!E63)</f>
        <v>51.65</v>
      </c>
      <c r="E61">
        <v>1947</v>
      </c>
      <c r="F61">
        <v>52.234943318374931</v>
      </c>
      <c r="G61">
        <f t="shared" si="0"/>
        <v>52.243089430894315</v>
      </c>
    </row>
    <row r="62" spans="3:7" x14ac:dyDescent="0.25">
      <c r="C62">
        <v>1948</v>
      </c>
      <c r="D62">
        <f>+AVERAGE('Data -- NJ Temp'!D62,'Data -- PA Temp'!E64)</f>
        <v>51.65</v>
      </c>
      <c r="E62">
        <v>1948</v>
      </c>
      <c r="F62">
        <v>52.271326541138258</v>
      </c>
      <c r="G62">
        <f t="shared" si="0"/>
        <v>52.243089430894315</v>
      </c>
    </row>
    <row r="63" spans="3:7" x14ac:dyDescent="0.25">
      <c r="C63">
        <v>1949</v>
      </c>
      <c r="D63">
        <f>+AVERAGE('Data -- NJ Temp'!D63,'Data -- PA Temp'!E65)</f>
        <v>54.15</v>
      </c>
      <c r="E63">
        <v>1949</v>
      </c>
      <c r="F63">
        <v>52.298640203474996</v>
      </c>
      <c r="G63">
        <f t="shared" si="0"/>
        <v>52.243089430894315</v>
      </c>
    </row>
    <row r="64" spans="3:7" x14ac:dyDescent="0.25">
      <c r="C64">
        <v>1950</v>
      </c>
      <c r="D64">
        <f>+AVERAGE('Data -- NJ Temp'!D64,'Data -- PA Temp'!E66)</f>
        <v>51.5</v>
      </c>
      <c r="E64">
        <v>1950</v>
      </c>
      <c r="F64">
        <v>52.31628951929163</v>
      </c>
      <c r="G64">
        <f t="shared" si="0"/>
        <v>52.243089430894315</v>
      </c>
    </row>
    <row r="65" spans="3:7" x14ac:dyDescent="0.25">
      <c r="C65">
        <v>1951</v>
      </c>
      <c r="D65">
        <f>+AVERAGE('Data -- NJ Temp'!D65,'Data -- PA Temp'!E67)</f>
        <v>52.45</v>
      </c>
      <c r="E65">
        <v>1951</v>
      </c>
      <c r="F65">
        <v>52.32173405734283</v>
      </c>
      <c r="G65">
        <f t="shared" si="0"/>
        <v>52.243089430894315</v>
      </c>
    </row>
    <row r="66" spans="3:7" x14ac:dyDescent="0.25">
      <c r="C66">
        <v>1952</v>
      </c>
      <c r="D66">
        <f>+AVERAGE('Data -- NJ Temp'!D66,'Data -- PA Temp'!E68)</f>
        <v>52.900000000000006</v>
      </c>
      <c r="E66">
        <v>1952</v>
      </c>
      <c r="F66">
        <v>52.313429971851612</v>
      </c>
      <c r="G66">
        <f t="shared" si="0"/>
        <v>52.243089430894315</v>
      </c>
    </row>
    <row r="67" spans="3:7" x14ac:dyDescent="0.25">
      <c r="C67">
        <v>1953</v>
      </c>
      <c r="D67">
        <f>+AVERAGE('Data -- NJ Temp'!D67,'Data -- PA Temp'!E69)</f>
        <v>53.900000000000006</v>
      </c>
      <c r="E67">
        <v>1953</v>
      </c>
      <c r="F67">
        <v>52.290406235485136</v>
      </c>
      <c r="G67">
        <f t="shared" si="0"/>
        <v>52.243089430894315</v>
      </c>
    </row>
    <row r="68" spans="3:7" x14ac:dyDescent="0.25">
      <c r="C68">
        <v>1954</v>
      </c>
      <c r="D68">
        <f>+AVERAGE('Data -- NJ Temp'!D68,'Data -- PA Temp'!E70)</f>
        <v>52.7</v>
      </c>
      <c r="E68">
        <v>1954</v>
      </c>
      <c r="F68">
        <v>52.253987672312419</v>
      </c>
      <c r="G68">
        <f t="shared" si="0"/>
        <v>52.243089430894315</v>
      </c>
    </row>
    <row r="69" spans="3:7" x14ac:dyDescent="0.25">
      <c r="C69">
        <v>1955</v>
      </c>
      <c r="D69">
        <f>+AVERAGE('Data -- NJ Temp'!D69,'Data -- PA Temp'!E71)</f>
        <v>52.45</v>
      </c>
      <c r="E69">
        <v>1955</v>
      </c>
      <c r="F69">
        <v>52.20740385443721</v>
      </c>
      <c r="G69">
        <f t="shared" si="0"/>
        <v>52.243089430894315</v>
      </c>
    </row>
    <row r="70" spans="3:7" x14ac:dyDescent="0.25">
      <c r="C70">
        <v>1956</v>
      </c>
      <c r="D70">
        <f>+AVERAGE('Data -- NJ Temp'!D70,'Data -- PA Temp'!E72)</f>
        <v>51.7</v>
      </c>
      <c r="E70">
        <v>1956</v>
      </c>
      <c r="F70">
        <v>52.151720342717994</v>
      </c>
      <c r="G70">
        <f t="shared" si="0"/>
        <v>52.243089430894315</v>
      </c>
    </row>
    <row r="71" spans="3:7" x14ac:dyDescent="0.25">
      <c r="C71">
        <v>1957</v>
      </c>
      <c r="D71">
        <f>+AVERAGE('Data -- NJ Temp'!D71,'Data -- PA Temp'!E73)</f>
        <v>52.85</v>
      </c>
      <c r="E71">
        <v>1957</v>
      </c>
      <c r="F71">
        <v>52.088730385871649</v>
      </c>
      <c r="G71">
        <f t="shared" si="0"/>
        <v>52.243089430894315</v>
      </c>
    </row>
    <row r="72" spans="3:7" x14ac:dyDescent="0.25">
      <c r="C72">
        <v>1958</v>
      </c>
      <c r="D72">
        <f>+AVERAGE('Data -- NJ Temp'!D72,'Data -- PA Temp'!E74)</f>
        <v>50.4</v>
      </c>
      <c r="E72">
        <v>1958</v>
      </c>
      <c r="F72">
        <v>52.022171784725693</v>
      </c>
      <c r="G72">
        <f t="shared" si="0"/>
        <v>52.243089430894315</v>
      </c>
    </row>
    <row r="73" spans="3:7" x14ac:dyDescent="0.25">
      <c r="C73">
        <v>1959</v>
      </c>
      <c r="D73">
        <f>+AVERAGE('Data -- NJ Temp'!D73,'Data -- PA Temp'!E75)</f>
        <v>53.35</v>
      </c>
      <c r="E73">
        <v>1959</v>
      </c>
      <c r="F73">
        <v>51.955623452920051</v>
      </c>
      <c r="G73">
        <f t="shared" si="0"/>
        <v>52.243089430894315</v>
      </c>
    </row>
    <row r="74" spans="3:7" x14ac:dyDescent="0.25">
      <c r="C74">
        <v>1960</v>
      </c>
      <c r="D74">
        <f>+AVERAGE('Data -- NJ Temp'!D74,'Data -- PA Temp'!E76)</f>
        <v>51.45</v>
      </c>
      <c r="E74">
        <v>1960</v>
      </c>
      <c r="F74">
        <v>51.892034612800032</v>
      </c>
      <c r="G74">
        <f t="shared" ref="G74:G131" si="1">+AVERAGE($D$9:$D$131)</f>
        <v>52.243089430894315</v>
      </c>
    </row>
    <row r="75" spans="3:7" x14ac:dyDescent="0.25">
      <c r="C75">
        <v>1961</v>
      </c>
      <c r="D75">
        <f>+AVERAGE('Data -- NJ Temp'!D75,'Data -- PA Temp'!E77)</f>
        <v>51.85</v>
      </c>
      <c r="E75">
        <v>1961</v>
      </c>
      <c r="F75">
        <v>51.835736230774089</v>
      </c>
      <c r="G75">
        <f t="shared" si="1"/>
        <v>52.243089430894315</v>
      </c>
    </row>
    <row r="76" spans="3:7" x14ac:dyDescent="0.25">
      <c r="C76">
        <v>1962</v>
      </c>
      <c r="D76">
        <f>+AVERAGE('Data -- NJ Temp'!D76,'Data -- PA Temp'!E78)</f>
        <v>50.65</v>
      </c>
      <c r="E76">
        <v>1962</v>
      </c>
      <c r="F76">
        <v>51.792163450111765</v>
      </c>
      <c r="G76">
        <f t="shared" si="1"/>
        <v>52.243089430894315</v>
      </c>
    </row>
    <row r="77" spans="3:7" x14ac:dyDescent="0.25">
      <c r="C77">
        <v>1963</v>
      </c>
      <c r="D77">
        <f>+AVERAGE('Data -- NJ Temp'!D77,'Data -- PA Temp'!E79)</f>
        <v>50.8</v>
      </c>
      <c r="E77">
        <v>1963</v>
      </c>
      <c r="F77">
        <v>51.76474589063092</v>
      </c>
      <c r="G77">
        <f t="shared" si="1"/>
        <v>52.243089430894315</v>
      </c>
    </row>
    <row r="78" spans="3:7" x14ac:dyDescent="0.25">
      <c r="C78">
        <v>1964</v>
      </c>
      <c r="D78">
        <f>+AVERAGE('Data -- NJ Temp'!D78,'Data -- PA Temp'!E80)</f>
        <v>52</v>
      </c>
      <c r="E78">
        <v>1964</v>
      </c>
      <c r="F78">
        <v>51.752228314611052</v>
      </c>
      <c r="G78">
        <f t="shared" si="1"/>
        <v>52.243089430894315</v>
      </c>
    </row>
    <row r="79" spans="3:7" x14ac:dyDescent="0.25">
      <c r="C79">
        <v>1965</v>
      </c>
      <c r="D79">
        <f>+AVERAGE('Data -- NJ Temp'!D79,'Data -- PA Temp'!E81)</f>
        <v>51.5</v>
      </c>
      <c r="E79">
        <v>1965</v>
      </c>
      <c r="F79">
        <v>51.754702814003586</v>
      </c>
      <c r="G79">
        <f t="shared" si="1"/>
        <v>52.243089430894315</v>
      </c>
    </row>
    <row r="80" spans="3:7" x14ac:dyDescent="0.25">
      <c r="C80">
        <v>1966</v>
      </c>
      <c r="D80">
        <f>+AVERAGE('Data -- NJ Temp'!D80,'Data -- PA Temp'!E82)</f>
        <v>51.5</v>
      </c>
      <c r="E80">
        <v>1966</v>
      </c>
      <c r="F80">
        <v>51.768656946335355</v>
      </c>
      <c r="G80">
        <f t="shared" si="1"/>
        <v>52.243089430894315</v>
      </c>
    </row>
    <row r="81" spans="3:7" x14ac:dyDescent="0.25">
      <c r="C81">
        <v>1967</v>
      </c>
      <c r="D81">
        <f>+AVERAGE('Data -- NJ Temp'!D81,'Data -- PA Temp'!E83)</f>
        <v>50.75</v>
      </c>
      <c r="E81">
        <v>1967</v>
      </c>
      <c r="F81">
        <v>51.789273718946262</v>
      </c>
      <c r="G81">
        <f t="shared" si="1"/>
        <v>52.243089430894315</v>
      </c>
    </row>
    <row r="82" spans="3:7" x14ac:dyDescent="0.25">
      <c r="C82">
        <v>1968</v>
      </c>
      <c r="D82">
        <f>+AVERAGE('Data -- NJ Temp'!D82,'Data -- PA Temp'!E84)</f>
        <v>51.8</v>
      </c>
      <c r="E82">
        <v>1968</v>
      </c>
      <c r="F82">
        <v>51.812165747294429</v>
      </c>
      <c r="G82">
        <f t="shared" si="1"/>
        <v>52.243089430894315</v>
      </c>
    </row>
    <row r="83" spans="3:7" x14ac:dyDescent="0.25">
      <c r="C83">
        <v>1969</v>
      </c>
      <c r="D83">
        <f>+AVERAGE('Data -- NJ Temp'!D83,'Data -- PA Temp'!E85)</f>
        <v>51.7</v>
      </c>
      <c r="E83">
        <v>1969</v>
      </c>
      <c r="F83">
        <v>51.835623770162357</v>
      </c>
      <c r="G83">
        <f t="shared" si="1"/>
        <v>52.243089430894315</v>
      </c>
    </row>
    <row r="84" spans="3:7" x14ac:dyDescent="0.25">
      <c r="C84">
        <v>1970</v>
      </c>
      <c r="D84">
        <f>+AVERAGE('Data -- NJ Temp'!D84,'Data -- PA Temp'!E86)</f>
        <v>51.900000000000006</v>
      </c>
      <c r="E84">
        <v>1970</v>
      </c>
      <c r="F84">
        <v>51.860077704828178</v>
      </c>
      <c r="G84">
        <f t="shared" si="1"/>
        <v>52.243089430894315</v>
      </c>
    </row>
    <row r="85" spans="3:7" x14ac:dyDescent="0.25">
      <c r="C85">
        <v>1971</v>
      </c>
      <c r="D85">
        <f>+AVERAGE('Data -- NJ Temp'!D85,'Data -- PA Temp'!E87)</f>
        <v>52.45</v>
      </c>
      <c r="E85">
        <v>1971</v>
      </c>
      <c r="F85">
        <v>51.88816285499572</v>
      </c>
      <c r="G85">
        <f t="shared" si="1"/>
        <v>52.243089430894315</v>
      </c>
    </row>
    <row r="86" spans="3:7" x14ac:dyDescent="0.25">
      <c r="C86">
        <v>1972</v>
      </c>
      <c r="D86">
        <f>+AVERAGE('Data -- NJ Temp'!D86,'Data -- PA Temp'!E88)</f>
        <v>51.35</v>
      </c>
      <c r="E86">
        <v>1972</v>
      </c>
      <c r="F86">
        <v>51.921867183703853</v>
      </c>
      <c r="G86">
        <f t="shared" si="1"/>
        <v>52.243089430894315</v>
      </c>
    </row>
    <row r="87" spans="3:7" x14ac:dyDescent="0.25">
      <c r="C87">
        <v>1973</v>
      </c>
      <c r="D87">
        <f>+AVERAGE('Data -- NJ Temp'!D87,'Data -- PA Temp'!E89)</f>
        <v>53.75</v>
      </c>
      <c r="E87">
        <v>1973</v>
      </c>
      <c r="F87">
        <v>51.963584971897973</v>
      </c>
      <c r="G87">
        <f t="shared" si="1"/>
        <v>52.243089430894315</v>
      </c>
    </row>
    <row r="88" spans="3:7" x14ac:dyDescent="0.25">
      <c r="C88">
        <v>1974</v>
      </c>
      <c r="D88">
        <f>+AVERAGE('Data -- NJ Temp'!D88,'Data -- PA Temp'!E90)</f>
        <v>52.55</v>
      </c>
      <c r="E88">
        <v>1974</v>
      </c>
      <c r="F88">
        <v>52.011628555023222</v>
      </c>
      <c r="G88">
        <f t="shared" si="1"/>
        <v>52.243089430894315</v>
      </c>
    </row>
    <row r="89" spans="3:7" x14ac:dyDescent="0.25">
      <c r="C89">
        <v>1975</v>
      </c>
      <c r="D89">
        <f>+AVERAGE('Data -- NJ Temp'!D89,'Data -- PA Temp'!E91)</f>
        <v>53.1</v>
      </c>
      <c r="E89">
        <v>1975</v>
      </c>
      <c r="F89">
        <v>52.063562868280854</v>
      </c>
      <c r="G89">
        <f t="shared" si="1"/>
        <v>52.243089430894315</v>
      </c>
    </row>
    <row r="90" spans="3:7" x14ac:dyDescent="0.25">
      <c r="C90">
        <v>1976</v>
      </c>
      <c r="D90">
        <f>+AVERAGE('Data -- NJ Temp'!D90,'Data -- PA Temp'!E92)</f>
        <v>51.6</v>
      </c>
      <c r="E90">
        <v>1976</v>
      </c>
      <c r="F90">
        <v>52.11525832437399</v>
      </c>
      <c r="G90">
        <f t="shared" si="1"/>
        <v>52.243089430894315</v>
      </c>
    </row>
    <row r="91" spans="3:7" x14ac:dyDescent="0.25">
      <c r="C91">
        <v>1977</v>
      </c>
      <c r="D91">
        <f>+AVERAGE('Data -- NJ Temp'!D91,'Data -- PA Temp'!E93)</f>
        <v>52.25</v>
      </c>
      <c r="E91">
        <v>1977</v>
      </c>
      <c r="F91">
        <v>52.163956558369172</v>
      </c>
      <c r="G91">
        <f t="shared" si="1"/>
        <v>52.243089430894315</v>
      </c>
    </row>
    <row r="92" spans="3:7" x14ac:dyDescent="0.25">
      <c r="C92">
        <v>1978</v>
      </c>
      <c r="D92">
        <f>+AVERAGE('Data -- NJ Temp'!D92,'Data -- PA Temp'!E94)</f>
        <v>50.7</v>
      </c>
      <c r="E92">
        <v>1978</v>
      </c>
      <c r="F92">
        <v>52.21158809249539</v>
      </c>
      <c r="G92">
        <f t="shared" si="1"/>
        <v>52.243089430894315</v>
      </c>
    </row>
    <row r="93" spans="3:7" x14ac:dyDescent="0.25">
      <c r="C93">
        <v>1979</v>
      </c>
      <c r="D93">
        <f>+AVERAGE('Data -- NJ Temp'!D93,'Data -- PA Temp'!E95)</f>
        <v>51.85</v>
      </c>
      <c r="E93">
        <v>1979</v>
      </c>
      <c r="F93">
        <v>52.259513111944891</v>
      </c>
      <c r="G93">
        <f t="shared" si="1"/>
        <v>52.243089430894315</v>
      </c>
    </row>
    <row r="94" spans="3:7" x14ac:dyDescent="0.25">
      <c r="C94">
        <v>1980</v>
      </c>
      <c r="D94">
        <f>+AVERAGE('Data -- NJ Temp'!D94,'Data -- PA Temp'!E96)</f>
        <v>52.099999999999994</v>
      </c>
      <c r="E94">
        <v>1980</v>
      </c>
      <c r="F94">
        <v>52.305979301827826</v>
      </c>
      <c r="G94">
        <f t="shared" si="1"/>
        <v>52.243089430894315</v>
      </c>
    </row>
    <row r="95" spans="3:7" x14ac:dyDescent="0.25">
      <c r="C95">
        <v>1981</v>
      </c>
      <c r="D95">
        <f>+AVERAGE('Data -- NJ Temp'!D95,'Data -- PA Temp'!E97)</f>
        <v>51.8</v>
      </c>
      <c r="E95">
        <v>1981</v>
      </c>
      <c r="F95">
        <v>52.349770515966782</v>
      </c>
      <c r="G95">
        <f t="shared" si="1"/>
        <v>52.243089430894315</v>
      </c>
    </row>
    <row r="96" spans="3:7" x14ac:dyDescent="0.25">
      <c r="C96">
        <v>1982</v>
      </c>
      <c r="D96">
        <f>+AVERAGE('Data -- NJ Temp'!D96,'Data -- PA Temp'!E98)</f>
        <v>51.85</v>
      </c>
      <c r="E96">
        <v>1982</v>
      </c>
      <c r="F96">
        <v>52.391348779345456</v>
      </c>
      <c r="G96">
        <f t="shared" si="1"/>
        <v>52.243089430894315</v>
      </c>
    </row>
    <row r="97" spans="3:7" x14ac:dyDescent="0.25">
      <c r="C97">
        <v>1983</v>
      </c>
      <c r="D97">
        <f>+AVERAGE('Data -- NJ Temp'!D97,'Data -- PA Temp'!E99)</f>
        <v>52.9</v>
      </c>
      <c r="E97">
        <v>1983</v>
      </c>
      <c r="F97">
        <v>52.431432061287722</v>
      </c>
      <c r="G97">
        <f t="shared" si="1"/>
        <v>52.243089430894315</v>
      </c>
    </row>
    <row r="98" spans="3:7" x14ac:dyDescent="0.25">
      <c r="C98">
        <v>1984</v>
      </c>
      <c r="D98">
        <f>+AVERAGE('Data -- NJ Temp'!D98,'Data -- PA Temp'!E100)</f>
        <v>52.55</v>
      </c>
      <c r="E98">
        <v>1984</v>
      </c>
      <c r="F98">
        <v>52.470412134238238</v>
      </c>
      <c r="G98">
        <f t="shared" si="1"/>
        <v>52.243089430894315</v>
      </c>
    </row>
    <row r="99" spans="3:7" x14ac:dyDescent="0.25">
      <c r="C99">
        <v>1985</v>
      </c>
      <c r="D99">
        <f>+AVERAGE('Data -- NJ Temp'!D99,'Data -- PA Temp'!E101)</f>
        <v>53</v>
      </c>
      <c r="E99">
        <v>1985</v>
      </c>
      <c r="F99">
        <v>52.510622343265581</v>
      </c>
      <c r="G99">
        <f t="shared" si="1"/>
        <v>52.243089430894315</v>
      </c>
    </row>
    <row r="100" spans="3:7" x14ac:dyDescent="0.25">
      <c r="C100">
        <v>1986</v>
      </c>
      <c r="D100">
        <f>+AVERAGE('Data -- NJ Temp'!D100,'Data -- PA Temp'!E102)</f>
        <v>52.75</v>
      </c>
      <c r="E100">
        <v>1986</v>
      </c>
      <c r="F100">
        <v>52.559005337958261</v>
      </c>
      <c r="G100">
        <f t="shared" si="1"/>
        <v>52.243089430894315</v>
      </c>
    </row>
    <row r="101" spans="3:7" x14ac:dyDescent="0.25">
      <c r="C101">
        <v>1987</v>
      </c>
      <c r="D101">
        <f>+AVERAGE('Data -- NJ Temp'!D101,'Data -- PA Temp'!E103)</f>
        <v>52.9</v>
      </c>
      <c r="E101">
        <v>1987</v>
      </c>
      <c r="F101">
        <v>52.620464054185774</v>
      </c>
      <c r="G101">
        <f t="shared" si="1"/>
        <v>52.243089430894315</v>
      </c>
    </row>
    <row r="102" spans="3:7" x14ac:dyDescent="0.25">
      <c r="C102">
        <v>1988</v>
      </c>
      <c r="D102">
        <f>+AVERAGE('Data -- NJ Temp'!D102,'Data -- PA Temp'!E104)</f>
        <v>52</v>
      </c>
      <c r="E102">
        <v>1988</v>
      </c>
      <c r="F102">
        <v>52.691647880150974</v>
      </c>
      <c r="G102">
        <f t="shared" si="1"/>
        <v>52.243089430894315</v>
      </c>
    </row>
    <row r="103" spans="3:7" x14ac:dyDescent="0.25">
      <c r="C103">
        <v>1989</v>
      </c>
      <c r="D103">
        <f>+AVERAGE('Data -- NJ Temp'!D103,'Data -- PA Temp'!E105)</f>
        <v>51.85</v>
      </c>
      <c r="E103">
        <v>1989</v>
      </c>
      <c r="F103">
        <v>52.768615471451994</v>
      </c>
      <c r="G103">
        <f t="shared" si="1"/>
        <v>52.243089430894315</v>
      </c>
    </row>
    <row r="104" spans="3:7" x14ac:dyDescent="0.25">
      <c r="C104">
        <v>1990</v>
      </c>
      <c r="D104">
        <f>+AVERAGE('Data -- NJ Temp'!D104,'Data -- PA Temp'!E106)</f>
        <v>54.85</v>
      </c>
      <c r="E104">
        <v>1990</v>
      </c>
      <c r="F104">
        <v>52.848067356305386</v>
      </c>
      <c r="G104">
        <f t="shared" si="1"/>
        <v>52.243089430894315</v>
      </c>
    </row>
    <row r="105" spans="3:7" x14ac:dyDescent="0.25">
      <c r="C105">
        <v>1991</v>
      </c>
      <c r="D105">
        <f>+AVERAGE('Data -- NJ Temp'!D105,'Data -- PA Temp'!E107)</f>
        <v>54.7</v>
      </c>
      <c r="E105">
        <v>1991</v>
      </c>
      <c r="F105">
        <v>52.925878622169932</v>
      </c>
      <c r="G105">
        <f t="shared" si="1"/>
        <v>52.243089430894315</v>
      </c>
    </row>
    <row r="106" spans="3:7" x14ac:dyDescent="0.25">
      <c r="C106">
        <v>1992</v>
      </c>
      <c r="D106">
        <f>+AVERAGE('Data -- NJ Temp'!D106,'Data -- PA Temp'!E108)</f>
        <v>51.65</v>
      </c>
      <c r="E106">
        <v>1992</v>
      </c>
      <c r="F106">
        <v>52.998382252738025</v>
      </c>
      <c r="G106">
        <f t="shared" si="1"/>
        <v>52.243089430894315</v>
      </c>
    </row>
    <row r="107" spans="3:7" x14ac:dyDescent="0.25">
      <c r="C107">
        <v>1993</v>
      </c>
      <c r="D107">
        <f>+AVERAGE('Data -- NJ Temp'!D107,'Data -- PA Temp'!E109)</f>
        <v>52.65</v>
      </c>
      <c r="E107">
        <v>1993</v>
      </c>
      <c r="F107">
        <v>53.065334874647633</v>
      </c>
      <c r="G107">
        <f t="shared" si="1"/>
        <v>52.243089430894315</v>
      </c>
    </row>
    <row r="108" spans="3:7" x14ac:dyDescent="0.25">
      <c r="C108">
        <v>1994</v>
      </c>
      <c r="D108">
        <f>+AVERAGE('Data -- NJ Temp'!D108,'Data -- PA Temp'!E110)</f>
        <v>52.5</v>
      </c>
      <c r="E108">
        <v>1994</v>
      </c>
      <c r="F108">
        <v>53.129316728306257</v>
      </c>
      <c r="G108">
        <f t="shared" si="1"/>
        <v>52.243089430894315</v>
      </c>
    </row>
    <row r="109" spans="3:7" x14ac:dyDescent="0.25">
      <c r="C109">
        <v>1995</v>
      </c>
      <c r="D109">
        <f>+AVERAGE('Data -- NJ Temp'!D109,'Data -- PA Temp'!E111)</f>
        <v>52.85</v>
      </c>
      <c r="E109">
        <v>1995</v>
      </c>
      <c r="F109">
        <v>53.192305090805085</v>
      </c>
      <c r="G109">
        <f t="shared" si="1"/>
        <v>52.243089430894315</v>
      </c>
    </row>
    <row r="110" spans="3:7" x14ac:dyDescent="0.25">
      <c r="C110">
        <v>1996</v>
      </c>
      <c r="D110">
        <f>+AVERAGE('Data -- NJ Temp'!D110,'Data -- PA Temp'!E112)</f>
        <v>51.8</v>
      </c>
      <c r="E110">
        <v>1996</v>
      </c>
      <c r="F110">
        <v>53.255477129301525</v>
      </c>
      <c r="G110">
        <f t="shared" si="1"/>
        <v>52.243089430894315</v>
      </c>
    </row>
    <row r="111" spans="3:7" x14ac:dyDescent="0.25">
      <c r="C111">
        <v>1997</v>
      </c>
      <c r="D111">
        <f>+AVERAGE('Data -- NJ Temp'!D111,'Data -- PA Temp'!E113)</f>
        <v>52.45</v>
      </c>
      <c r="E111">
        <v>1997</v>
      </c>
      <c r="F111">
        <v>53.31865065568897</v>
      </c>
      <c r="G111">
        <f t="shared" si="1"/>
        <v>52.243089430894315</v>
      </c>
    </row>
    <row r="112" spans="3:7" x14ac:dyDescent="0.25">
      <c r="C112">
        <v>1998</v>
      </c>
      <c r="D112">
        <f>+AVERAGE('Data -- NJ Temp'!D112,'Data -- PA Temp'!E114)</f>
        <v>55.599999999999994</v>
      </c>
      <c r="E112">
        <v>1998</v>
      </c>
      <c r="F112">
        <v>53.383453003602057</v>
      </c>
      <c r="G112">
        <f t="shared" si="1"/>
        <v>52.243089430894315</v>
      </c>
    </row>
    <row r="113" spans="3:7" x14ac:dyDescent="0.25">
      <c r="C113">
        <v>1999</v>
      </c>
      <c r="D113">
        <f>+AVERAGE('Data -- NJ Temp'!D113,'Data -- PA Temp'!E115)</f>
        <v>54.400000000000006</v>
      </c>
      <c r="E113">
        <v>1999</v>
      </c>
      <c r="F113">
        <v>53.453961315324555</v>
      </c>
      <c r="G113">
        <f t="shared" si="1"/>
        <v>52.243089430894315</v>
      </c>
    </row>
    <row r="114" spans="3:7" x14ac:dyDescent="0.25">
      <c r="C114">
        <v>2000</v>
      </c>
      <c r="D114">
        <f>+AVERAGE('Data -- NJ Temp'!D114,'Data -- PA Temp'!E116)</f>
        <v>52.6</v>
      </c>
      <c r="E114">
        <v>2000</v>
      </c>
      <c r="F114">
        <v>53.533239742112691</v>
      </c>
      <c r="G114">
        <f t="shared" si="1"/>
        <v>52.243089430894315</v>
      </c>
    </row>
    <row r="115" spans="3:7" x14ac:dyDescent="0.25">
      <c r="C115">
        <v>2001</v>
      </c>
      <c r="D115">
        <f>+AVERAGE('Data -- NJ Temp'!D115,'Data -- PA Temp'!E117)</f>
        <v>54</v>
      </c>
      <c r="E115">
        <v>2001</v>
      </c>
      <c r="F115">
        <v>53.618911700018401</v>
      </c>
      <c r="G115">
        <f t="shared" si="1"/>
        <v>52.243089430894315</v>
      </c>
    </row>
    <row r="116" spans="3:7" x14ac:dyDescent="0.25">
      <c r="C116">
        <v>2002</v>
      </c>
      <c r="D116">
        <f>+AVERAGE('Data -- NJ Temp'!D116,'Data -- PA Temp'!E118)</f>
        <v>54.65</v>
      </c>
      <c r="E116">
        <v>2002</v>
      </c>
      <c r="F116">
        <v>53.705635160379344</v>
      </c>
      <c r="G116">
        <f t="shared" si="1"/>
        <v>52.243089430894315</v>
      </c>
    </row>
    <row r="117" spans="3:7" x14ac:dyDescent="0.25">
      <c r="C117">
        <v>2003</v>
      </c>
      <c r="D117">
        <f>+AVERAGE('Data -- NJ Temp'!D117,'Data -- PA Temp'!E119)</f>
        <v>52.25</v>
      </c>
      <c r="E117">
        <v>2003</v>
      </c>
      <c r="F117">
        <v>53.778321783280362</v>
      </c>
      <c r="G117">
        <f t="shared" si="1"/>
        <v>52.243089430894315</v>
      </c>
    </row>
    <row r="118" spans="3:7" x14ac:dyDescent="0.25">
      <c r="C118">
        <v>2004</v>
      </c>
      <c r="D118">
        <f>+AVERAGE('Data -- NJ Temp'!D118,'Data -- PA Temp'!E120)</f>
        <v>53.5</v>
      </c>
      <c r="E118">
        <v>2004</v>
      </c>
      <c r="F118">
        <v>53.842337485888443</v>
      </c>
      <c r="G118">
        <f t="shared" si="1"/>
        <v>52.243089430894315</v>
      </c>
    </row>
    <row r="119" spans="3:7" x14ac:dyDescent="0.25">
      <c r="C119">
        <v>2005</v>
      </c>
      <c r="D119">
        <f>+AVERAGE('Data -- NJ Temp'!D119,'Data -- PA Temp'!E121)</f>
        <v>53.85</v>
      </c>
      <c r="E119">
        <v>2005</v>
      </c>
      <c r="F119">
        <v>53.907069256702989</v>
      </c>
      <c r="G119">
        <f t="shared" si="1"/>
        <v>52.243089430894315</v>
      </c>
    </row>
    <row r="120" spans="3:7" x14ac:dyDescent="0.25">
      <c r="C120">
        <v>2006</v>
      </c>
      <c r="D120">
        <f>+AVERAGE('Data -- NJ Temp'!D120,'Data -- PA Temp'!E122)</f>
        <v>55.400000000000006</v>
      </c>
      <c r="E120">
        <v>2006</v>
      </c>
      <c r="F120">
        <v>53.973491385038017</v>
      </c>
      <c r="G120">
        <f t="shared" si="1"/>
        <v>52.243089430894315</v>
      </c>
    </row>
    <row r="121" spans="3:7" x14ac:dyDescent="0.25">
      <c r="C121">
        <v>2007</v>
      </c>
      <c r="D121">
        <f>+AVERAGE('Data -- NJ Temp'!D121,'Data -- PA Temp'!E123)</f>
        <v>54.1</v>
      </c>
      <c r="E121">
        <v>2007</v>
      </c>
      <c r="F121">
        <v>54.041057045276204</v>
      </c>
      <c r="G121">
        <f t="shared" si="1"/>
        <v>52.243089430894315</v>
      </c>
    </row>
    <row r="122" spans="3:7" x14ac:dyDescent="0.25">
      <c r="C122">
        <v>2008</v>
      </c>
      <c r="D122">
        <f>+AVERAGE('Data -- NJ Temp'!D122,'Data -- PA Temp'!E124)</f>
        <v>53.95</v>
      </c>
      <c r="E122">
        <v>2008</v>
      </c>
      <c r="F122">
        <v>54.109067461242262</v>
      </c>
      <c r="G122">
        <f t="shared" si="1"/>
        <v>52.243089430894315</v>
      </c>
    </row>
    <row r="123" spans="3:7" x14ac:dyDescent="0.25">
      <c r="C123">
        <v>2009</v>
      </c>
      <c r="D123">
        <f>+AVERAGE('Data -- NJ Temp'!D123,'Data -- PA Temp'!E125)</f>
        <v>53.15</v>
      </c>
      <c r="E123">
        <v>2009</v>
      </c>
      <c r="F123">
        <v>54.177036111632134</v>
      </c>
      <c r="G123">
        <f t="shared" si="1"/>
        <v>52.243089430894315</v>
      </c>
    </row>
    <row r="124" spans="3:7" x14ac:dyDescent="0.25">
      <c r="C124">
        <v>2010</v>
      </c>
      <c r="D124">
        <f>+AVERAGE('Data -- NJ Temp'!D124,'Data -- PA Temp'!E126)</f>
        <v>54.95</v>
      </c>
      <c r="E124">
        <v>2010</v>
      </c>
      <c r="F124">
        <v>54.244709974487343</v>
      </c>
      <c r="G124">
        <f t="shared" si="1"/>
        <v>52.243089430894315</v>
      </c>
    </row>
    <row r="125" spans="3:7" x14ac:dyDescent="0.25">
      <c r="C125">
        <v>2011</v>
      </c>
      <c r="D125">
        <f>+AVERAGE('Data -- NJ Temp'!D125,'Data -- PA Temp'!E127)</f>
        <v>55.2</v>
      </c>
      <c r="E125">
        <v>2011</v>
      </c>
      <c r="F125">
        <v>54.312030022781336</v>
      </c>
      <c r="G125">
        <f t="shared" si="1"/>
        <v>52.243089430894315</v>
      </c>
    </row>
    <row r="126" spans="3:7" x14ac:dyDescent="0.25">
      <c r="C126">
        <v>2012</v>
      </c>
      <c r="D126">
        <f>+AVERAGE('Data -- NJ Temp'!D126,'Data -- PA Temp'!E128)</f>
        <v>56.1</v>
      </c>
      <c r="E126">
        <v>2012</v>
      </c>
      <c r="F126">
        <v>54.37887295210075</v>
      </c>
      <c r="G126">
        <f t="shared" si="1"/>
        <v>52.243089430894315</v>
      </c>
    </row>
    <row r="127" spans="3:7" x14ac:dyDescent="0.25">
      <c r="C127">
        <v>2013</v>
      </c>
      <c r="D127">
        <f>+AVERAGE('Data -- NJ Temp'!D127,'Data -- PA Temp'!E129)</f>
        <v>53.45</v>
      </c>
      <c r="E127">
        <v>2013</v>
      </c>
      <c r="F127">
        <v>54.444964488969319</v>
      </c>
      <c r="G127">
        <f t="shared" si="1"/>
        <v>52.243089430894315</v>
      </c>
    </row>
    <row r="128" spans="3:7" x14ac:dyDescent="0.25">
      <c r="C128">
        <v>2014</v>
      </c>
      <c r="D128">
        <f>+AVERAGE('Data -- NJ Temp'!D128,'Data -- PA Temp'!E130)</f>
        <v>52.150000000000006</v>
      </c>
      <c r="E128">
        <v>2014</v>
      </c>
      <c r="F128">
        <v>54.509883266399683</v>
      </c>
      <c r="G128">
        <f t="shared" si="1"/>
        <v>52.243089430894315</v>
      </c>
    </row>
    <row r="129" spans="3:7" x14ac:dyDescent="0.25">
      <c r="C129">
        <v>2015</v>
      </c>
      <c r="D129">
        <f>+AVERAGE('Data -- NJ Temp'!D129,'Data -- PA Temp'!E131)</f>
        <v>54.25</v>
      </c>
      <c r="E129">
        <v>2015</v>
      </c>
      <c r="F129">
        <v>54.57345969835076</v>
      </c>
      <c r="G129">
        <f t="shared" si="1"/>
        <v>52.243089430894315</v>
      </c>
    </row>
    <row r="130" spans="3:7" x14ac:dyDescent="0.25">
      <c r="C130">
        <v>2016</v>
      </c>
      <c r="D130">
        <f>+AVERAGE('Data -- NJ Temp'!D130,'Data -- PA Temp'!E132)</f>
        <v>55.3</v>
      </c>
      <c r="E130">
        <v>2016</v>
      </c>
      <c r="F130">
        <v>54.635950785168653</v>
      </c>
      <c r="G130">
        <f t="shared" si="1"/>
        <v>52.243089430894315</v>
      </c>
    </row>
    <row r="131" spans="3:7" x14ac:dyDescent="0.25">
      <c r="C131">
        <v>2017</v>
      </c>
      <c r="D131">
        <f>+AVERAGE('Data -- NJ Temp'!D131,'Data -- PA Temp'!E133)</f>
        <v>55.099999999999994</v>
      </c>
      <c r="E131">
        <v>2017</v>
      </c>
      <c r="F131">
        <v>54.697708343964081</v>
      </c>
      <c r="G131">
        <f t="shared" si="1"/>
        <v>52.243089430894315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141"/>
  <sheetViews>
    <sheetView zoomScaleNormal="100" workbookViewId="0">
      <selection activeCell="I3" sqref="I3"/>
    </sheetView>
  </sheetViews>
  <sheetFormatPr defaultRowHeight="15" x14ac:dyDescent="0.25"/>
  <cols>
    <col min="13" max="13" width="13.140625" customWidth="1"/>
  </cols>
  <sheetData>
    <row r="2" spans="1:14" x14ac:dyDescent="0.25">
      <c r="A2" s="1" t="s">
        <v>10</v>
      </c>
      <c r="F2" s="1" t="s">
        <v>9</v>
      </c>
    </row>
    <row r="3" spans="1:14" x14ac:dyDescent="0.25">
      <c r="A3" t="s">
        <v>11</v>
      </c>
      <c r="F3" t="s">
        <v>3</v>
      </c>
    </row>
    <row r="4" spans="1:14" x14ac:dyDescent="0.25">
      <c r="A4" t="s">
        <v>14</v>
      </c>
      <c r="F4" t="s">
        <v>14</v>
      </c>
    </row>
    <row r="5" spans="1:14" x14ac:dyDescent="0.25">
      <c r="A5" t="s">
        <v>5</v>
      </c>
      <c r="F5" t="s">
        <v>5</v>
      </c>
    </row>
    <row r="6" spans="1:14" x14ac:dyDescent="0.25">
      <c r="A6" s="1" t="s">
        <v>13</v>
      </c>
      <c r="F6" s="1" t="s">
        <v>13</v>
      </c>
      <c r="J6" t="s">
        <v>15</v>
      </c>
    </row>
    <row r="7" spans="1:14" x14ac:dyDescent="0.25">
      <c r="A7" s="1" t="s">
        <v>1</v>
      </c>
      <c r="F7" s="1" t="s">
        <v>1</v>
      </c>
    </row>
    <row r="8" spans="1:14" x14ac:dyDescent="0.25">
      <c r="A8" s="1" t="s">
        <v>2</v>
      </c>
      <c r="F8" s="1" t="s">
        <v>2</v>
      </c>
    </row>
    <row r="9" spans="1:14" x14ac:dyDescent="0.25">
      <c r="A9" s="1" t="s">
        <v>6</v>
      </c>
      <c r="B9" t="s">
        <v>7</v>
      </c>
      <c r="C9" t="s">
        <v>8</v>
      </c>
      <c r="F9" s="1" t="s">
        <v>6</v>
      </c>
      <c r="G9" t="s">
        <v>7</v>
      </c>
      <c r="H9" t="s">
        <v>8</v>
      </c>
      <c r="J9" s="1" t="s">
        <v>6</v>
      </c>
      <c r="K9" t="s">
        <v>7</v>
      </c>
      <c r="L9" s="1" t="s">
        <v>6</v>
      </c>
      <c r="M9" t="s">
        <v>16</v>
      </c>
      <c r="N9" t="str">
        <f>"1901-2000 Average Precipitation = 44.0"""</f>
        <v>1901-2000 Average Precipitation = 44.0"</v>
      </c>
    </row>
    <row r="10" spans="1:14" x14ac:dyDescent="0.25">
      <c r="A10" s="1">
        <v>189512</v>
      </c>
      <c r="B10">
        <v>36.130000000000003</v>
      </c>
      <c r="C10">
        <v>-7.88</v>
      </c>
      <c r="F10" s="1">
        <v>189512</v>
      </c>
      <c r="G10">
        <v>35.15</v>
      </c>
      <c r="H10">
        <v>-8.77</v>
      </c>
      <c r="J10">
        <v>1895</v>
      </c>
      <c r="K10">
        <f>+AVERAGE(B10,G10)</f>
        <v>35.64</v>
      </c>
      <c r="L10">
        <v>1895</v>
      </c>
      <c r="M10">
        <f t="array" ref="M10:M132">+LOESS(J10:J132,K10:K132,L10:L132,30)</f>
        <v>44.715933041530093</v>
      </c>
      <c r="N10">
        <f>+AVERAGE($K$16:$K$115)</f>
        <v>43.964450000000006</v>
      </c>
    </row>
    <row r="11" spans="1:14" x14ac:dyDescent="0.25">
      <c r="A11" s="1">
        <v>189612</v>
      </c>
      <c r="B11">
        <v>39.6</v>
      </c>
      <c r="C11">
        <v>-4.41</v>
      </c>
      <c r="F11" s="1">
        <v>189612</v>
      </c>
      <c r="G11">
        <v>39.58</v>
      </c>
      <c r="H11">
        <v>-4.34</v>
      </c>
      <c r="J11">
        <v>1896</v>
      </c>
      <c r="K11">
        <f t="shared" ref="K11:K74" si="0">+AVERAGE(B11,G11)</f>
        <v>39.590000000000003</v>
      </c>
      <c r="L11">
        <v>1896</v>
      </c>
      <c r="M11">
        <v>44.781207405414129</v>
      </c>
      <c r="N11">
        <f t="shared" ref="N11:N74" si="1">+AVERAGE($K$16:$K$115)</f>
        <v>43.964450000000006</v>
      </c>
    </row>
    <row r="12" spans="1:14" x14ac:dyDescent="0.25">
      <c r="A12" s="1">
        <v>189712</v>
      </c>
      <c r="B12">
        <v>49.18</v>
      </c>
      <c r="C12">
        <v>5.17</v>
      </c>
      <c r="F12" s="1">
        <v>189712</v>
      </c>
      <c r="G12">
        <v>46.54</v>
      </c>
      <c r="H12">
        <v>2.62</v>
      </c>
      <c r="J12">
        <v>1897</v>
      </c>
      <c r="K12">
        <f t="shared" si="0"/>
        <v>47.86</v>
      </c>
      <c r="L12">
        <v>1897</v>
      </c>
      <c r="M12">
        <v>44.830749722032756</v>
      </c>
      <c r="N12">
        <f t="shared" si="1"/>
        <v>43.964450000000006</v>
      </c>
    </row>
    <row r="13" spans="1:14" x14ac:dyDescent="0.25">
      <c r="A13" s="1">
        <v>189812</v>
      </c>
      <c r="B13">
        <v>49.23</v>
      </c>
      <c r="C13">
        <v>5.22</v>
      </c>
      <c r="F13" s="1">
        <v>189812</v>
      </c>
      <c r="G13">
        <v>48.57</v>
      </c>
      <c r="H13">
        <v>4.6500000000000004</v>
      </c>
      <c r="J13">
        <v>1898</v>
      </c>
      <c r="K13">
        <f t="shared" si="0"/>
        <v>48.9</v>
      </c>
      <c r="L13">
        <v>1898</v>
      </c>
      <c r="M13">
        <v>44.866978180343857</v>
      </c>
      <c r="N13">
        <f t="shared" si="1"/>
        <v>43.964450000000006</v>
      </c>
    </row>
    <row r="14" spans="1:14" x14ac:dyDescent="0.25">
      <c r="A14" s="1">
        <v>189912</v>
      </c>
      <c r="B14">
        <v>42.65</v>
      </c>
      <c r="C14">
        <v>-1.36</v>
      </c>
      <c r="F14" s="1">
        <v>189912</v>
      </c>
      <c r="G14">
        <v>44.83</v>
      </c>
      <c r="H14">
        <v>0.91</v>
      </c>
      <c r="J14">
        <v>1899</v>
      </c>
      <c r="K14">
        <f t="shared" si="0"/>
        <v>43.739999999999995</v>
      </c>
      <c r="L14">
        <v>1899</v>
      </c>
      <c r="M14">
        <v>44.892181760926618</v>
      </c>
      <c r="N14">
        <f t="shared" si="1"/>
        <v>43.964450000000006</v>
      </c>
    </row>
    <row r="15" spans="1:14" x14ac:dyDescent="0.25">
      <c r="A15" s="1">
        <v>190012</v>
      </c>
      <c r="B15">
        <v>41.12</v>
      </c>
      <c r="C15">
        <v>-2.89</v>
      </c>
      <c r="F15" s="1">
        <v>190012</v>
      </c>
      <c r="G15">
        <v>39.909999999999997</v>
      </c>
      <c r="H15">
        <v>-4.01</v>
      </c>
      <c r="J15">
        <v>1900</v>
      </c>
      <c r="K15">
        <f t="shared" si="0"/>
        <v>40.515000000000001</v>
      </c>
      <c r="L15">
        <v>1900</v>
      </c>
      <c r="M15">
        <v>44.908193660408088</v>
      </c>
      <c r="N15">
        <f t="shared" si="1"/>
        <v>43.964450000000006</v>
      </c>
    </row>
    <row r="16" spans="1:14" x14ac:dyDescent="0.25">
      <c r="A16" s="1">
        <v>190112</v>
      </c>
      <c r="B16">
        <v>50.44</v>
      </c>
      <c r="C16">
        <v>6.43</v>
      </c>
      <c r="F16" s="1">
        <v>190112</v>
      </c>
      <c r="G16">
        <v>47.31</v>
      </c>
      <c r="H16">
        <v>3.39</v>
      </c>
      <c r="J16">
        <v>1901</v>
      </c>
      <c r="K16">
        <f t="shared" si="0"/>
        <v>48.875</v>
      </c>
      <c r="L16">
        <v>1901</v>
      </c>
      <c r="M16">
        <v>44.917208826869533</v>
      </c>
      <c r="N16">
        <f t="shared" si="1"/>
        <v>43.964450000000006</v>
      </c>
    </row>
    <row r="17" spans="1:14" x14ac:dyDescent="0.25">
      <c r="A17" s="1">
        <v>190212</v>
      </c>
      <c r="B17">
        <v>54.21</v>
      </c>
      <c r="C17">
        <v>10.199999999999999</v>
      </c>
      <c r="F17" s="1">
        <v>190212</v>
      </c>
      <c r="G17">
        <v>54.98</v>
      </c>
      <c r="H17">
        <v>11.06</v>
      </c>
      <c r="J17">
        <v>1902</v>
      </c>
      <c r="K17">
        <f t="shared" si="0"/>
        <v>54.594999999999999</v>
      </c>
      <c r="L17">
        <v>1902</v>
      </c>
      <c r="M17">
        <v>44.922218410078848</v>
      </c>
      <c r="N17">
        <f t="shared" si="1"/>
        <v>43.964450000000006</v>
      </c>
    </row>
    <row r="18" spans="1:14" x14ac:dyDescent="0.25">
      <c r="A18" s="1">
        <v>190312</v>
      </c>
      <c r="B18">
        <v>50.46</v>
      </c>
      <c r="C18">
        <v>6.45</v>
      </c>
      <c r="F18" s="1">
        <v>190312</v>
      </c>
      <c r="G18">
        <v>49.59</v>
      </c>
      <c r="H18">
        <v>5.67</v>
      </c>
      <c r="J18">
        <v>1903</v>
      </c>
      <c r="K18">
        <f t="shared" si="0"/>
        <v>50.025000000000006</v>
      </c>
      <c r="L18">
        <v>1903</v>
      </c>
      <c r="M18">
        <v>44.925761956478766</v>
      </c>
      <c r="N18">
        <f t="shared" si="1"/>
        <v>43.964450000000006</v>
      </c>
    </row>
    <row r="19" spans="1:14" x14ac:dyDescent="0.25">
      <c r="A19" s="1">
        <v>190412</v>
      </c>
      <c r="B19">
        <v>40.57</v>
      </c>
      <c r="C19">
        <v>-3.44</v>
      </c>
      <c r="F19" s="1">
        <v>190412</v>
      </c>
      <c r="G19">
        <v>45.43</v>
      </c>
      <c r="H19">
        <v>1.51</v>
      </c>
      <c r="J19">
        <v>1904</v>
      </c>
      <c r="K19">
        <f t="shared" si="0"/>
        <v>43</v>
      </c>
      <c r="L19">
        <v>1904</v>
      </c>
      <c r="M19">
        <v>44.928571584217011</v>
      </c>
      <c r="N19">
        <f t="shared" si="1"/>
        <v>43.964450000000006</v>
      </c>
    </row>
    <row r="20" spans="1:14" x14ac:dyDescent="0.25">
      <c r="A20" s="1">
        <v>190512</v>
      </c>
      <c r="B20">
        <v>40.86</v>
      </c>
      <c r="C20">
        <v>-3.15</v>
      </c>
      <c r="F20" s="1">
        <v>190512</v>
      </c>
      <c r="G20">
        <v>44.68</v>
      </c>
      <c r="H20">
        <v>0.76</v>
      </c>
      <c r="J20">
        <v>1905</v>
      </c>
      <c r="K20">
        <f t="shared" si="0"/>
        <v>42.769999999999996</v>
      </c>
      <c r="L20">
        <v>1905</v>
      </c>
      <c r="M20">
        <v>44.929484583175665</v>
      </c>
      <c r="N20">
        <f t="shared" si="1"/>
        <v>43.964450000000006</v>
      </c>
    </row>
    <row r="21" spans="1:14" x14ac:dyDescent="0.25">
      <c r="A21" s="1">
        <v>190612</v>
      </c>
      <c r="B21">
        <v>47.46</v>
      </c>
      <c r="C21">
        <v>3.45</v>
      </c>
      <c r="F21" s="1">
        <v>190612</v>
      </c>
      <c r="G21">
        <v>51.27</v>
      </c>
      <c r="H21">
        <v>7.35</v>
      </c>
      <c r="J21">
        <v>1906</v>
      </c>
      <c r="K21">
        <f t="shared" si="0"/>
        <v>49.365000000000002</v>
      </c>
      <c r="L21">
        <v>1906</v>
      </c>
      <c r="M21">
        <v>44.925863638261582</v>
      </c>
      <c r="N21">
        <f t="shared" si="1"/>
        <v>43.964450000000006</v>
      </c>
    </row>
    <row r="22" spans="1:14" x14ac:dyDescent="0.25">
      <c r="A22" s="1">
        <v>190712</v>
      </c>
      <c r="B22">
        <v>52.14</v>
      </c>
      <c r="C22">
        <v>8.1300000000000008</v>
      </c>
      <c r="F22" s="1">
        <v>190712</v>
      </c>
      <c r="G22">
        <v>50.47</v>
      </c>
      <c r="H22">
        <v>6.55</v>
      </c>
      <c r="J22">
        <v>1907</v>
      </c>
      <c r="K22">
        <f t="shared" si="0"/>
        <v>51.305</v>
      </c>
      <c r="L22">
        <v>1907</v>
      </c>
      <c r="M22">
        <v>44.912004388924579</v>
      </c>
      <c r="N22">
        <f t="shared" si="1"/>
        <v>43.964450000000006</v>
      </c>
    </row>
    <row r="23" spans="1:14" x14ac:dyDescent="0.25">
      <c r="A23" s="1">
        <v>190812</v>
      </c>
      <c r="B23">
        <v>42.8</v>
      </c>
      <c r="C23">
        <v>-1.21</v>
      </c>
      <c r="F23" s="1">
        <v>190812</v>
      </c>
      <c r="G23">
        <v>42.45</v>
      </c>
      <c r="H23">
        <v>-1.47</v>
      </c>
      <c r="J23">
        <v>1908</v>
      </c>
      <c r="K23">
        <f t="shared" si="0"/>
        <v>42.625</v>
      </c>
      <c r="L23">
        <v>1908</v>
      </c>
      <c r="M23">
        <v>44.870751365663217</v>
      </c>
      <c r="N23">
        <f t="shared" si="1"/>
        <v>43.964450000000006</v>
      </c>
    </row>
    <row r="24" spans="1:14" x14ac:dyDescent="0.25">
      <c r="A24" s="1">
        <v>190912</v>
      </c>
      <c r="B24">
        <v>40.119999999999997</v>
      </c>
      <c r="C24">
        <v>-3.89</v>
      </c>
      <c r="F24" s="1">
        <v>190912</v>
      </c>
      <c r="G24">
        <v>37.17</v>
      </c>
      <c r="H24">
        <v>-6.75</v>
      </c>
      <c r="J24">
        <v>1909</v>
      </c>
      <c r="K24">
        <f t="shared" si="0"/>
        <v>38.644999999999996</v>
      </c>
      <c r="L24">
        <v>1909</v>
      </c>
      <c r="M24">
        <v>44.752666496627043</v>
      </c>
      <c r="N24">
        <f t="shared" si="1"/>
        <v>43.964450000000006</v>
      </c>
    </row>
    <row r="25" spans="1:14" x14ac:dyDescent="0.25">
      <c r="A25" s="1">
        <v>191012</v>
      </c>
      <c r="B25">
        <v>39.659999999999997</v>
      </c>
      <c r="C25">
        <v>-4.3499999999999996</v>
      </c>
      <c r="F25" s="1">
        <v>191012</v>
      </c>
      <c r="G25">
        <v>41.35</v>
      </c>
      <c r="H25">
        <v>-2.57</v>
      </c>
      <c r="J25">
        <v>1910</v>
      </c>
      <c r="K25">
        <f t="shared" si="0"/>
        <v>40.504999999999995</v>
      </c>
      <c r="L25">
        <v>1910</v>
      </c>
      <c r="M25">
        <v>44.503091393344178</v>
      </c>
      <c r="N25">
        <f t="shared" si="1"/>
        <v>43.964450000000006</v>
      </c>
    </row>
    <row r="26" spans="1:14" x14ac:dyDescent="0.25">
      <c r="A26" s="1">
        <v>191112</v>
      </c>
      <c r="B26">
        <v>50.99</v>
      </c>
      <c r="C26">
        <v>6.98</v>
      </c>
      <c r="F26" s="1">
        <v>191112</v>
      </c>
      <c r="G26">
        <v>47.99</v>
      </c>
      <c r="H26">
        <v>4.07</v>
      </c>
      <c r="J26">
        <v>1911</v>
      </c>
      <c r="K26">
        <f t="shared" si="0"/>
        <v>49.49</v>
      </c>
      <c r="L26">
        <v>1911</v>
      </c>
      <c r="M26">
        <v>44.193593514060893</v>
      </c>
      <c r="N26">
        <f t="shared" si="1"/>
        <v>43.964450000000006</v>
      </c>
    </row>
    <row r="27" spans="1:14" x14ac:dyDescent="0.25">
      <c r="A27" s="1">
        <v>191212</v>
      </c>
      <c r="B27">
        <v>46.81</v>
      </c>
      <c r="C27">
        <v>2.8</v>
      </c>
      <c r="F27" s="1">
        <v>191212</v>
      </c>
      <c r="G27">
        <v>45.19</v>
      </c>
      <c r="H27">
        <v>1.27</v>
      </c>
      <c r="J27">
        <v>1912</v>
      </c>
      <c r="K27">
        <f t="shared" si="0"/>
        <v>46</v>
      </c>
      <c r="L27">
        <v>1912</v>
      </c>
      <c r="M27">
        <v>43.869451969834493</v>
      </c>
      <c r="N27">
        <f t="shared" si="1"/>
        <v>43.964450000000006</v>
      </c>
    </row>
    <row r="28" spans="1:14" x14ac:dyDescent="0.25">
      <c r="A28" s="1">
        <v>191312</v>
      </c>
      <c r="B28">
        <v>44.04</v>
      </c>
      <c r="C28">
        <v>0.03</v>
      </c>
      <c r="F28" s="1">
        <v>191312</v>
      </c>
      <c r="G28">
        <v>44.28</v>
      </c>
      <c r="H28">
        <v>0.36</v>
      </c>
      <c r="J28">
        <v>1913</v>
      </c>
      <c r="K28">
        <f t="shared" si="0"/>
        <v>44.16</v>
      </c>
      <c r="L28">
        <v>1913</v>
      </c>
      <c r="M28">
        <v>43.54190754951258</v>
      </c>
      <c r="N28">
        <f t="shared" si="1"/>
        <v>43.964450000000006</v>
      </c>
    </row>
    <row r="29" spans="1:14" x14ac:dyDescent="0.25">
      <c r="A29" s="1">
        <v>191412</v>
      </c>
      <c r="B29">
        <v>38</v>
      </c>
      <c r="C29">
        <v>-6.01</v>
      </c>
      <c r="F29" s="1">
        <v>191412</v>
      </c>
      <c r="G29">
        <v>36.22</v>
      </c>
      <c r="H29">
        <v>-7.7</v>
      </c>
      <c r="J29">
        <v>1914</v>
      </c>
      <c r="K29">
        <f t="shared" si="0"/>
        <v>37.11</v>
      </c>
      <c r="L29">
        <v>1914</v>
      </c>
      <c r="M29">
        <v>43.237079859816987</v>
      </c>
      <c r="N29">
        <f t="shared" si="1"/>
        <v>43.964450000000006</v>
      </c>
    </row>
    <row r="30" spans="1:14" x14ac:dyDescent="0.25">
      <c r="A30" s="1">
        <v>191512</v>
      </c>
      <c r="B30">
        <v>45.4</v>
      </c>
      <c r="C30">
        <v>1.39</v>
      </c>
      <c r="F30" s="1">
        <v>191512</v>
      </c>
      <c r="G30">
        <v>49.44</v>
      </c>
      <c r="H30">
        <v>5.52</v>
      </c>
      <c r="J30">
        <v>1915</v>
      </c>
      <c r="K30">
        <f t="shared" si="0"/>
        <v>47.42</v>
      </c>
      <c r="L30">
        <v>1915</v>
      </c>
      <c r="M30">
        <v>42.982543867054474</v>
      </c>
      <c r="N30">
        <f t="shared" si="1"/>
        <v>43.964450000000006</v>
      </c>
    </row>
    <row r="31" spans="1:14" x14ac:dyDescent="0.25">
      <c r="A31" s="1">
        <v>191612</v>
      </c>
      <c r="B31">
        <v>36.94</v>
      </c>
      <c r="C31">
        <v>-7.07</v>
      </c>
      <c r="F31" s="1">
        <v>191612</v>
      </c>
      <c r="G31">
        <v>40.36</v>
      </c>
      <c r="H31">
        <v>-3.56</v>
      </c>
      <c r="J31">
        <v>1916</v>
      </c>
      <c r="K31">
        <f t="shared" si="0"/>
        <v>38.65</v>
      </c>
      <c r="L31">
        <v>1916</v>
      </c>
      <c r="M31">
        <v>42.785060518899549</v>
      </c>
      <c r="N31">
        <f t="shared" si="1"/>
        <v>43.964450000000006</v>
      </c>
    </row>
    <row r="32" spans="1:14" x14ac:dyDescent="0.25">
      <c r="A32" s="1">
        <v>191712</v>
      </c>
      <c r="B32">
        <v>43.57</v>
      </c>
      <c r="C32">
        <v>-0.44</v>
      </c>
      <c r="F32" s="1">
        <v>191712</v>
      </c>
      <c r="G32">
        <v>40.26</v>
      </c>
      <c r="H32">
        <v>-3.66</v>
      </c>
      <c r="J32">
        <v>1917</v>
      </c>
      <c r="K32">
        <f t="shared" si="0"/>
        <v>41.914999999999999</v>
      </c>
      <c r="L32">
        <v>1917</v>
      </c>
      <c r="M32">
        <v>42.626289792232768</v>
      </c>
      <c r="N32">
        <f t="shared" si="1"/>
        <v>43.964450000000006</v>
      </c>
    </row>
    <row r="33" spans="1:14" x14ac:dyDescent="0.25">
      <c r="A33" s="1">
        <v>191812</v>
      </c>
      <c r="B33">
        <v>38.24</v>
      </c>
      <c r="C33">
        <v>-5.77</v>
      </c>
      <c r="F33" s="1">
        <v>191812</v>
      </c>
      <c r="G33">
        <v>37.57</v>
      </c>
      <c r="H33">
        <v>-6.35</v>
      </c>
      <c r="J33">
        <v>1918</v>
      </c>
      <c r="K33">
        <f t="shared" si="0"/>
        <v>37.905000000000001</v>
      </c>
      <c r="L33">
        <v>1918</v>
      </c>
      <c r="M33">
        <v>42.478270032814507</v>
      </c>
      <c r="N33">
        <f t="shared" si="1"/>
        <v>43.964450000000006</v>
      </c>
    </row>
    <row r="34" spans="1:14" x14ac:dyDescent="0.25">
      <c r="A34" s="1">
        <v>191912</v>
      </c>
      <c r="B34">
        <v>51.17</v>
      </c>
      <c r="C34">
        <v>7.16</v>
      </c>
      <c r="F34" s="1">
        <v>191912</v>
      </c>
      <c r="G34">
        <v>49.72</v>
      </c>
      <c r="H34">
        <v>5.8</v>
      </c>
      <c r="J34">
        <v>1919</v>
      </c>
      <c r="K34">
        <f t="shared" si="0"/>
        <v>50.445</v>
      </c>
      <c r="L34">
        <v>1919</v>
      </c>
      <c r="M34">
        <v>42.330478446421196</v>
      </c>
      <c r="N34">
        <f t="shared" si="1"/>
        <v>43.964450000000006</v>
      </c>
    </row>
    <row r="35" spans="1:14" x14ac:dyDescent="0.25">
      <c r="A35" s="1">
        <v>192012</v>
      </c>
      <c r="B35">
        <v>48.06</v>
      </c>
      <c r="C35">
        <v>4.05</v>
      </c>
      <c r="F35" s="1">
        <v>192012</v>
      </c>
      <c r="G35">
        <v>44.85</v>
      </c>
      <c r="H35">
        <v>0.93</v>
      </c>
      <c r="J35">
        <v>1920</v>
      </c>
      <c r="K35">
        <f t="shared" si="0"/>
        <v>46.454999999999998</v>
      </c>
      <c r="L35">
        <v>1920</v>
      </c>
      <c r="M35">
        <v>42.19305088730404</v>
      </c>
      <c r="N35">
        <f t="shared" si="1"/>
        <v>43.964450000000006</v>
      </c>
    </row>
    <row r="36" spans="1:14" x14ac:dyDescent="0.25">
      <c r="A36" s="1">
        <v>192112</v>
      </c>
      <c r="B36">
        <v>36.840000000000003</v>
      </c>
      <c r="C36">
        <v>-7.17</v>
      </c>
      <c r="F36" s="1">
        <v>192112</v>
      </c>
      <c r="G36">
        <v>36.57</v>
      </c>
      <c r="H36">
        <v>-7.35</v>
      </c>
      <c r="J36">
        <v>1921</v>
      </c>
      <c r="K36">
        <f t="shared" si="0"/>
        <v>36.704999999999998</v>
      </c>
      <c r="L36">
        <v>1921</v>
      </c>
      <c r="M36">
        <v>42.075225657536549</v>
      </c>
      <c r="N36">
        <f t="shared" si="1"/>
        <v>43.964450000000006</v>
      </c>
    </row>
    <row r="37" spans="1:14" x14ac:dyDescent="0.25">
      <c r="A37" s="1">
        <v>192212</v>
      </c>
      <c r="B37">
        <v>38.92</v>
      </c>
      <c r="C37">
        <v>-5.09</v>
      </c>
      <c r="F37" s="1">
        <v>192212</v>
      </c>
      <c r="G37">
        <v>34.24</v>
      </c>
      <c r="H37">
        <v>-9.68</v>
      </c>
      <c r="J37">
        <v>1922</v>
      </c>
      <c r="K37">
        <f t="shared" si="0"/>
        <v>36.58</v>
      </c>
      <c r="L37">
        <v>1922</v>
      </c>
      <c r="M37">
        <v>41.981850453855216</v>
      </c>
      <c r="N37">
        <f t="shared" si="1"/>
        <v>43.964450000000006</v>
      </c>
    </row>
    <row r="38" spans="1:14" x14ac:dyDescent="0.25">
      <c r="A38" s="1">
        <v>192312</v>
      </c>
      <c r="B38">
        <v>41.31</v>
      </c>
      <c r="C38">
        <v>-2.7</v>
      </c>
      <c r="F38" s="1">
        <v>192312</v>
      </c>
      <c r="G38">
        <v>40.51</v>
      </c>
      <c r="H38">
        <v>-3.41</v>
      </c>
      <c r="J38">
        <v>1923</v>
      </c>
      <c r="K38">
        <f t="shared" si="0"/>
        <v>40.909999999999997</v>
      </c>
      <c r="L38">
        <v>1923</v>
      </c>
      <c r="M38">
        <v>41.929930693143056</v>
      </c>
      <c r="N38">
        <f t="shared" si="1"/>
        <v>43.964450000000006</v>
      </c>
    </row>
    <row r="39" spans="1:14" x14ac:dyDescent="0.25">
      <c r="A39" s="1">
        <v>192412</v>
      </c>
      <c r="B39">
        <v>46.03</v>
      </c>
      <c r="C39">
        <v>2.02</v>
      </c>
      <c r="F39" s="1">
        <v>192412</v>
      </c>
      <c r="G39">
        <v>45.98</v>
      </c>
      <c r="H39">
        <v>2.06</v>
      </c>
      <c r="J39">
        <v>1924</v>
      </c>
      <c r="K39">
        <f t="shared" si="0"/>
        <v>46.004999999999995</v>
      </c>
      <c r="L39">
        <v>1924</v>
      </c>
      <c r="M39">
        <v>41.940485236943886</v>
      </c>
      <c r="N39">
        <f t="shared" si="1"/>
        <v>43.964450000000006</v>
      </c>
    </row>
    <row r="40" spans="1:14" x14ac:dyDescent="0.25">
      <c r="A40" s="1">
        <v>192512</v>
      </c>
      <c r="B40">
        <v>38.130000000000003</v>
      </c>
      <c r="C40">
        <v>-5.88</v>
      </c>
      <c r="F40" s="1">
        <v>192512</v>
      </c>
      <c r="G40">
        <v>38.81</v>
      </c>
      <c r="H40">
        <v>-5.1100000000000003</v>
      </c>
      <c r="J40">
        <v>1925</v>
      </c>
      <c r="K40">
        <f t="shared" si="0"/>
        <v>38.47</v>
      </c>
      <c r="L40">
        <v>1925</v>
      </c>
      <c r="M40">
        <v>42.020338768986775</v>
      </c>
      <c r="N40">
        <f t="shared" si="1"/>
        <v>43.964450000000006</v>
      </c>
    </row>
    <row r="41" spans="1:14" x14ac:dyDescent="0.25">
      <c r="A41" s="1">
        <v>192612</v>
      </c>
      <c r="B41">
        <v>44.16</v>
      </c>
      <c r="C41">
        <v>0.15</v>
      </c>
      <c r="F41" s="1">
        <v>192612</v>
      </c>
      <c r="G41">
        <v>44.47</v>
      </c>
      <c r="H41">
        <v>0.55000000000000004</v>
      </c>
      <c r="J41">
        <v>1926</v>
      </c>
      <c r="K41">
        <f t="shared" si="0"/>
        <v>44.314999999999998</v>
      </c>
      <c r="L41">
        <v>1926</v>
      </c>
      <c r="M41">
        <v>42.157437004434676</v>
      </c>
      <c r="N41">
        <f t="shared" si="1"/>
        <v>43.964450000000006</v>
      </c>
    </row>
    <row r="42" spans="1:14" x14ac:dyDescent="0.25">
      <c r="A42" s="1">
        <v>192712</v>
      </c>
      <c r="B42">
        <v>44.43</v>
      </c>
      <c r="C42">
        <v>0.42</v>
      </c>
      <c r="F42" s="1">
        <v>192712</v>
      </c>
      <c r="G42">
        <v>44.57</v>
      </c>
      <c r="H42">
        <v>0.65</v>
      </c>
      <c r="J42">
        <v>1927</v>
      </c>
      <c r="K42">
        <f t="shared" si="0"/>
        <v>44.5</v>
      </c>
      <c r="L42">
        <v>1927</v>
      </c>
      <c r="M42">
        <v>42.333789325265634</v>
      </c>
      <c r="N42">
        <f t="shared" si="1"/>
        <v>43.964450000000006</v>
      </c>
    </row>
    <row r="43" spans="1:14" x14ac:dyDescent="0.25">
      <c r="A43" s="1">
        <v>192812</v>
      </c>
      <c r="B43">
        <v>44.41</v>
      </c>
      <c r="C43">
        <v>0.4</v>
      </c>
      <c r="F43" s="1">
        <v>192812</v>
      </c>
      <c r="G43">
        <v>44.34</v>
      </c>
      <c r="H43">
        <v>0.42</v>
      </c>
      <c r="J43">
        <v>1928</v>
      </c>
      <c r="K43">
        <f t="shared" si="0"/>
        <v>44.375</v>
      </c>
      <c r="L43">
        <v>1928</v>
      </c>
      <c r="M43">
        <v>42.532642628634235</v>
      </c>
      <c r="N43">
        <f t="shared" si="1"/>
        <v>43.964450000000006</v>
      </c>
    </row>
    <row r="44" spans="1:14" x14ac:dyDescent="0.25">
      <c r="A44" s="1">
        <v>192912</v>
      </c>
      <c r="B44">
        <v>40.98</v>
      </c>
      <c r="C44">
        <v>-3.03</v>
      </c>
      <c r="F44" s="1">
        <v>192912</v>
      </c>
      <c r="G44">
        <v>44.23</v>
      </c>
      <c r="H44">
        <v>0.31</v>
      </c>
      <c r="J44">
        <v>1929</v>
      </c>
      <c r="K44">
        <f t="shared" si="0"/>
        <v>42.604999999999997</v>
      </c>
      <c r="L44">
        <v>1929</v>
      </c>
      <c r="M44">
        <v>42.730920282327581</v>
      </c>
      <c r="N44">
        <f t="shared" si="1"/>
        <v>43.964450000000006</v>
      </c>
    </row>
    <row r="45" spans="1:14" x14ac:dyDescent="0.25">
      <c r="A45" s="1">
        <v>193012</v>
      </c>
      <c r="B45">
        <v>33.49</v>
      </c>
      <c r="C45">
        <v>-10.52</v>
      </c>
      <c r="F45" s="1">
        <v>193012</v>
      </c>
      <c r="G45">
        <v>29.86</v>
      </c>
      <c r="H45">
        <v>-14.06</v>
      </c>
      <c r="J45">
        <v>1930</v>
      </c>
      <c r="K45">
        <f t="shared" si="0"/>
        <v>31.675000000000001</v>
      </c>
      <c r="L45">
        <v>1930</v>
      </c>
      <c r="M45">
        <v>42.910167167339068</v>
      </c>
      <c r="N45">
        <f t="shared" si="1"/>
        <v>43.964450000000006</v>
      </c>
    </row>
    <row r="46" spans="1:14" x14ac:dyDescent="0.25">
      <c r="A46" s="1">
        <v>193112</v>
      </c>
      <c r="B46">
        <v>35.619999999999997</v>
      </c>
      <c r="C46">
        <v>-8.39</v>
      </c>
      <c r="F46" s="1">
        <v>193112</v>
      </c>
      <c r="G46">
        <v>37.29</v>
      </c>
      <c r="H46">
        <v>-6.63</v>
      </c>
      <c r="J46">
        <v>1931</v>
      </c>
      <c r="K46">
        <f t="shared" si="0"/>
        <v>36.454999999999998</v>
      </c>
      <c r="L46">
        <v>1931</v>
      </c>
      <c r="M46">
        <v>43.060766934549967</v>
      </c>
      <c r="N46">
        <f t="shared" si="1"/>
        <v>43.964450000000006</v>
      </c>
    </row>
    <row r="47" spans="1:14" x14ac:dyDescent="0.25">
      <c r="A47" s="1">
        <v>193212</v>
      </c>
      <c r="B47">
        <v>46.58</v>
      </c>
      <c r="C47">
        <v>2.57</v>
      </c>
      <c r="F47" s="1">
        <v>193212</v>
      </c>
      <c r="G47">
        <v>44.61</v>
      </c>
      <c r="H47">
        <v>0.69</v>
      </c>
      <c r="J47">
        <v>1932</v>
      </c>
      <c r="K47">
        <f t="shared" si="0"/>
        <v>45.594999999999999</v>
      </c>
      <c r="L47">
        <v>1932</v>
      </c>
      <c r="M47">
        <v>43.190015232928353</v>
      </c>
      <c r="N47">
        <f t="shared" si="1"/>
        <v>43.964450000000006</v>
      </c>
    </row>
    <row r="48" spans="1:14" x14ac:dyDescent="0.25">
      <c r="A48" s="1">
        <v>193312</v>
      </c>
      <c r="B48">
        <v>48.49</v>
      </c>
      <c r="C48">
        <v>4.4800000000000004</v>
      </c>
      <c r="F48" s="1">
        <v>193312</v>
      </c>
      <c r="G48">
        <v>51.24</v>
      </c>
      <c r="H48">
        <v>7.32</v>
      </c>
      <c r="J48">
        <v>1933</v>
      </c>
      <c r="K48">
        <f t="shared" si="0"/>
        <v>49.865000000000002</v>
      </c>
      <c r="L48">
        <v>1933</v>
      </c>
      <c r="M48">
        <v>43.314144628032857</v>
      </c>
      <c r="N48">
        <f t="shared" si="1"/>
        <v>43.964450000000006</v>
      </c>
    </row>
    <row r="49" spans="1:14" x14ac:dyDescent="0.25">
      <c r="A49" s="1">
        <v>193412</v>
      </c>
      <c r="B49">
        <v>44.9</v>
      </c>
      <c r="C49">
        <v>0.89</v>
      </c>
      <c r="F49" s="1">
        <v>193412</v>
      </c>
      <c r="G49">
        <v>46.74</v>
      </c>
      <c r="H49">
        <v>2.82</v>
      </c>
      <c r="J49">
        <v>1934</v>
      </c>
      <c r="K49">
        <f t="shared" si="0"/>
        <v>45.82</v>
      </c>
      <c r="L49">
        <v>1934</v>
      </c>
      <c r="M49">
        <v>43.421867065642061</v>
      </c>
      <c r="N49">
        <f t="shared" si="1"/>
        <v>43.964450000000006</v>
      </c>
    </row>
    <row r="50" spans="1:14" x14ac:dyDescent="0.25">
      <c r="A50" s="1">
        <v>193512</v>
      </c>
      <c r="B50">
        <v>47.02</v>
      </c>
      <c r="C50">
        <v>3.01</v>
      </c>
      <c r="F50" s="1">
        <v>193512</v>
      </c>
      <c r="G50">
        <v>42.53</v>
      </c>
      <c r="H50">
        <v>-1.39</v>
      </c>
      <c r="J50">
        <v>1935</v>
      </c>
      <c r="K50">
        <f t="shared" si="0"/>
        <v>44.775000000000006</v>
      </c>
      <c r="L50">
        <v>1935</v>
      </c>
      <c r="M50">
        <v>43.510062155620361</v>
      </c>
      <c r="N50">
        <f t="shared" si="1"/>
        <v>43.964450000000006</v>
      </c>
    </row>
    <row r="51" spans="1:14" x14ac:dyDescent="0.25">
      <c r="A51" s="1">
        <v>193612</v>
      </c>
      <c r="B51">
        <v>46.63</v>
      </c>
      <c r="C51">
        <v>2.62</v>
      </c>
      <c r="F51" s="1">
        <v>193612</v>
      </c>
      <c r="G51">
        <v>44.11</v>
      </c>
      <c r="H51">
        <v>0.19</v>
      </c>
      <c r="J51">
        <v>1936</v>
      </c>
      <c r="K51">
        <f t="shared" si="0"/>
        <v>45.370000000000005</v>
      </c>
      <c r="L51">
        <v>1936</v>
      </c>
      <c r="M51">
        <v>43.603573031321609</v>
      </c>
      <c r="N51">
        <f t="shared" si="1"/>
        <v>43.964450000000006</v>
      </c>
    </row>
    <row r="52" spans="1:14" x14ac:dyDescent="0.25">
      <c r="A52" s="1">
        <v>193712</v>
      </c>
      <c r="B52">
        <v>45.96</v>
      </c>
      <c r="C52">
        <v>1.95</v>
      </c>
      <c r="F52" s="1">
        <v>193712</v>
      </c>
      <c r="G52">
        <v>44.99</v>
      </c>
      <c r="H52">
        <v>1.07</v>
      </c>
      <c r="J52">
        <v>1937</v>
      </c>
      <c r="K52">
        <f t="shared" si="0"/>
        <v>45.475000000000001</v>
      </c>
      <c r="L52">
        <v>1937</v>
      </c>
      <c r="M52">
        <v>43.71325150709383</v>
      </c>
      <c r="N52">
        <f t="shared" si="1"/>
        <v>43.964450000000006</v>
      </c>
    </row>
    <row r="53" spans="1:14" x14ac:dyDescent="0.25">
      <c r="A53" s="1">
        <v>193812</v>
      </c>
      <c r="B53">
        <v>51.05</v>
      </c>
      <c r="C53">
        <v>7.04</v>
      </c>
      <c r="F53" s="1">
        <v>193812</v>
      </c>
      <c r="G53">
        <v>47.57</v>
      </c>
      <c r="H53">
        <v>3.65</v>
      </c>
      <c r="J53">
        <v>1938</v>
      </c>
      <c r="K53">
        <f t="shared" si="0"/>
        <v>49.31</v>
      </c>
      <c r="L53">
        <v>1938</v>
      </c>
      <c r="M53">
        <v>43.833614396401266</v>
      </c>
      <c r="N53">
        <f t="shared" si="1"/>
        <v>43.964450000000006</v>
      </c>
    </row>
    <row r="54" spans="1:14" x14ac:dyDescent="0.25">
      <c r="A54" s="1">
        <v>193912</v>
      </c>
      <c r="B54">
        <v>44.71</v>
      </c>
      <c r="C54">
        <v>0.7</v>
      </c>
      <c r="F54" s="1">
        <v>193912</v>
      </c>
      <c r="G54">
        <v>40.99</v>
      </c>
      <c r="H54">
        <v>-2.93</v>
      </c>
      <c r="J54">
        <v>1939</v>
      </c>
      <c r="K54">
        <f t="shared" si="0"/>
        <v>42.85</v>
      </c>
      <c r="L54">
        <v>1939</v>
      </c>
      <c r="M54">
        <v>43.95789902969765</v>
      </c>
      <c r="N54">
        <f t="shared" si="1"/>
        <v>43.964450000000006</v>
      </c>
    </row>
    <row r="55" spans="1:14" x14ac:dyDescent="0.25">
      <c r="A55" s="1">
        <v>194012</v>
      </c>
      <c r="B55">
        <v>46.11</v>
      </c>
      <c r="C55">
        <v>2.1</v>
      </c>
      <c r="F55" s="1">
        <v>194012</v>
      </c>
      <c r="G55">
        <v>45.58</v>
      </c>
      <c r="H55">
        <v>1.66</v>
      </c>
      <c r="J55">
        <v>1940</v>
      </c>
      <c r="K55">
        <f t="shared" si="0"/>
        <v>45.844999999999999</v>
      </c>
      <c r="L55">
        <v>1940</v>
      </c>
      <c r="M55">
        <v>44.092062445450139</v>
      </c>
      <c r="N55">
        <f t="shared" si="1"/>
        <v>43.964450000000006</v>
      </c>
    </row>
    <row r="56" spans="1:14" x14ac:dyDescent="0.25">
      <c r="A56" s="1">
        <v>194112</v>
      </c>
      <c r="B56">
        <v>35.99</v>
      </c>
      <c r="C56">
        <v>-8.02</v>
      </c>
      <c r="F56" s="1">
        <v>194112</v>
      </c>
      <c r="G56">
        <v>33.119999999999997</v>
      </c>
      <c r="H56">
        <v>-10.8</v>
      </c>
      <c r="J56">
        <v>1941</v>
      </c>
      <c r="K56">
        <f t="shared" si="0"/>
        <v>34.555</v>
      </c>
      <c r="L56">
        <v>1941</v>
      </c>
      <c r="M56">
        <v>44.224159162453986</v>
      </c>
      <c r="N56">
        <f t="shared" si="1"/>
        <v>43.964450000000006</v>
      </c>
    </row>
    <row r="57" spans="1:14" x14ac:dyDescent="0.25">
      <c r="A57" s="1">
        <v>194212</v>
      </c>
      <c r="B57">
        <v>45.57</v>
      </c>
      <c r="C57">
        <v>1.56</v>
      </c>
      <c r="F57" s="1">
        <v>194212</v>
      </c>
      <c r="G57">
        <v>50.88</v>
      </c>
      <c r="H57">
        <v>6.96</v>
      </c>
      <c r="J57">
        <v>1942</v>
      </c>
      <c r="K57">
        <f t="shared" si="0"/>
        <v>48.225000000000001</v>
      </c>
      <c r="L57">
        <v>1942</v>
      </c>
      <c r="M57">
        <v>44.318168611883436</v>
      </c>
      <c r="N57">
        <f t="shared" si="1"/>
        <v>43.964450000000006</v>
      </c>
    </row>
    <row r="58" spans="1:14" x14ac:dyDescent="0.25">
      <c r="A58" s="1">
        <v>194312</v>
      </c>
      <c r="B58">
        <v>37.479999999999997</v>
      </c>
      <c r="C58">
        <v>-6.53</v>
      </c>
      <c r="F58" s="1">
        <v>194312</v>
      </c>
      <c r="G58">
        <v>38.61</v>
      </c>
      <c r="H58">
        <v>-5.31</v>
      </c>
      <c r="J58">
        <v>1943</v>
      </c>
      <c r="K58">
        <f t="shared" si="0"/>
        <v>38.045000000000002</v>
      </c>
      <c r="L58">
        <v>1943</v>
      </c>
      <c r="M58">
        <v>44.347852186014663</v>
      </c>
      <c r="N58">
        <f t="shared" si="1"/>
        <v>43.964450000000006</v>
      </c>
    </row>
    <row r="59" spans="1:14" x14ac:dyDescent="0.25">
      <c r="A59" s="1">
        <v>194412</v>
      </c>
      <c r="B59">
        <v>46.17</v>
      </c>
      <c r="C59">
        <v>2.16</v>
      </c>
      <c r="F59" s="1">
        <v>194412</v>
      </c>
      <c r="G59">
        <v>42.25</v>
      </c>
      <c r="H59">
        <v>-1.67</v>
      </c>
      <c r="J59">
        <v>1944</v>
      </c>
      <c r="K59">
        <f t="shared" si="0"/>
        <v>44.21</v>
      </c>
      <c r="L59">
        <v>1944</v>
      </c>
      <c r="M59">
        <v>44.315104643452926</v>
      </c>
      <c r="N59">
        <f t="shared" si="1"/>
        <v>43.964450000000006</v>
      </c>
    </row>
    <row r="60" spans="1:14" x14ac:dyDescent="0.25">
      <c r="A60" s="1">
        <v>194512</v>
      </c>
      <c r="B60">
        <v>47.46</v>
      </c>
      <c r="C60">
        <v>3.45</v>
      </c>
      <c r="F60" s="1">
        <v>194512</v>
      </c>
      <c r="G60">
        <v>51.9</v>
      </c>
      <c r="H60">
        <v>7.98</v>
      </c>
      <c r="J60">
        <v>1945</v>
      </c>
      <c r="K60">
        <f t="shared" si="0"/>
        <v>49.68</v>
      </c>
      <c r="L60">
        <v>1945</v>
      </c>
      <c r="M60">
        <v>44.245109344779422</v>
      </c>
      <c r="N60">
        <f t="shared" si="1"/>
        <v>43.964450000000006</v>
      </c>
    </row>
    <row r="61" spans="1:14" x14ac:dyDescent="0.25">
      <c r="A61" s="1">
        <v>194612</v>
      </c>
      <c r="B61">
        <v>38.25</v>
      </c>
      <c r="C61">
        <v>-5.76</v>
      </c>
      <c r="F61" s="1">
        <v>194612</v>
      </c>
      <c r="G61">
        <v>40.619999999999997</v>
      </c>
      <c r="H61">
        <v>-3.3</v>
      </c>
      <c r="J61">
        <v>1946</v>
      </c>
      <c r="K61">
        <f t="shared" si="0"/>
        <v>39.435000000000002</v>
      </c>
      <c r="L61">
        <v>1946</v>
      </c>
      <c r="M61">
        <v>44.176195932866371</v>
      </c>
      <c r="N61">
        <f t="shared" si="1"/>
        <v>43.964450000000006</v>
      </c>
    </row>
    <row r="62" spans="1:14" x14ac:dyDescent="0.25">
      <c r="A62" s="1">
        <v>194712</v>
      </c>
      <c r="B62">
        <v>41.02</v>
      </c>
      <c r="C62">
        <v>-2.99</v>
      </c>
      <c r="F62" s="1">
        <v>194712</v>
      </c>
      <c r="G62">
        <v>43.95</v>
      </c>
      <c r="H62">
        <v>0.03</v>
      </c>
      <c r="J62">
        <v>1947</v>
      </c>
      <c r="K62">
        <f t="shared" si="0"/>
        <v>42.484999999999999</v>
      </c>
      <c r="L62">
        <v>1947</v>
      </c>
      <c r="M62">
        <v>44.122036829333169</v>
      </c>
      <c r="N62">
        <f t="shared" si="1"/>
        <v>43.964450000000006</v>
      </c>
    </row>
    <row r="63" spans="1:14" x14ac:dyDescent="0.25">
      <c r="A63" s="1">
        <v>194812</v>
      </c>
      <c r="B63">
        <v>54.03</v>
      </c>
      <c r="C63">
        <v>10.02</v>
      </c>
      <c r="F63" s="1">
        <v>194812</v>
      </c>
      <c r="G63">
        <v>49.41</v>
      </c>
      <c r="H63">
        <v>5.49</v>
      </c>
      <c r="J63">
        <v>1948</v>
      </c>
      <c r="K63">
        <f t="shared" si="0"/>
        <v>51.72</v>
      </c>
      <c r="L63">
        <v>1948</v>
      </c>
      <c r="M63">
        <v>44.087428518810299</v>
      </c>
      <c r="N63">
        <f t="shared" si="1"/>
        <v>43.964450000000006</v>
      </c>
    </row>
    <row r="64" spans="1:14" x14ac:dyDescent="0.25">
      <c r="A64" s="1">
        <v>194912</v>
      </c>
      <c r="B64">
        <v>39.049999999999997</v>
      </c>
      <c r="C64">
        <v>-4.96</v>
      </c>
      <c r="F64" s="1">
        <v>194912</v>
      </c>
      <c r="G64">
        <v>39.44</v>
      </c>
      <c r="H64">
        <v>-4.4800000000000004</v>
      </c>
      <c r="J64">
        <v>1949</v>
      </c>
      <c r="K64">
        <f t="shared" si="0"/>
        <v>39.244999999999997</v>
      </c>
      <c r="L64">
        <v>1949</v>
      </c>
      <c r="M64">
        <v>44.076850721450789</v>
      </c>
      <c r="N64">
        <f t="shared" si="1"/>
        <v>43.964450000000006</v>
      </c>
    </row>
    <row r="65" spans="1:14" x14ac:dyDescent="0.25">
      <c r="A65" s="1">
        <v>195012</v>
      </c>
      <c r="B65">
        <v>40.71</v>
      </c>
      <c r="C65">
        <v>-3.3</v>
      </c>
      <c r="F65" s="1">
        <v>195012</v>
      </c>
      <c r="G65">
        <v>44.99</v>
      </c>
      <c r="H65">
        <v>1.07</v>
      </c>
      <c r="J65">
        <v>1950</v>
      </c>
      <c r="K65">
        <f t="shared" si="0"/>
        <v>42.85</v>
      </c>
      <c r="L65">
        <v>1950</v>
      </c>
      <c r="M65">
        <v>44.08108408463459</v>
      </c>
      <c r="N65">
        <f t="shared" si="1"/>
        <v>43.964450000000006</v>
      </c>
    </row>
    <row r="66" spans="1:14" x14ac:dyDescent="0.25">
      <c r="A66" s="1">
        <v>195112</v>
      </c>
      <c r="B66">
        <v>44.87</v>
      </c>
      <c r="C66">
        <v>0.86</v>
      </c>
      <c r="F66" s="1">
        <v>195112</v>
      </c>
      <c r="G66">
        <v>46.93</v>
      </c>
      <c r="H66">
        <v>3.01</v>
      </c>
      <c r="J66">
        <v>1951</v>
      </c>
      <c r="K66">
        <f t="shared" si="0"/>
        <v>45.9</v>
      </c>
      <c r="L66">
        <v>1951</v>
      </c>
      <c r="M66">
        <v>44.073315009792424</v>
      </c>
      <c r="N66">
        <f t="shared" si="1"/>
        <v>43.964450000000006</v>
      </c>
    </row>
    <row r="67" spans="1:14" x14ac:dyDescent="0.25">
      <c r="A67" s="1">
        <v>195212</v>
      </c>
      <c r="B67">
        <v>52</v>
      </c>
      <c r="C67">
        <v>7.99</v>
      </c>
      <c r="F67" s="1">
        <v>195212</v>
      </c>
      <c r="G67">
        <v>54.34</v>
      </c>
      <c r="H67">
        <v>10.42</v>
      </c>
      <c r="J67">
        <v>1952</v>
      </c>
      <c r="K67">
        <f t="shared" si="0"/>
        <v>53.17</v>
      </c>
      <c r="L67">
        <v>1952</v>
      </c>
      <c r="M67">
        <v>44.019090374536084</v>
      </c>
      <c r="N67">
        <f t="shared" si="1"/>
        <v>43.964450000000006</v>
      </c>
    </row>
    <row r="68" spans="1:14" x14ac:dyDescent="0.25">
      <c r="A68" s="1">
        <v>195312</v>
      </c>
      <c r="B68">
        <v>48.35</v>
      </c>
      <c r="C68">
        <v>4.34</v>
      </c>
      <c r="F68" s="1">
        <v>195312</v>
      </c>
      <c r="G68">
        <v>48.33</v>
      </c>
      <c r="H68">
        <v>4.41</v>
      </c>
      <c r="J68">
        <v>1953</v>
      </c>
      <c r="K68">
        <f t="shared" si="0"/>
        <v>48.34</v>
      </c>
      <c r="L68">
        <v>1953</v>
      </c>
      <c r="M68">
        <v>43.87942898986563</v>
      </c>
      <c r="N68">
        <f t="shared" si="1"/>
        <v>43.964450000000006</v>
      </c>
    </row>
    <row r="69" spans="1:14" x14ac:dyDescent="0.25">
      <c r="A69" s="1">
        <v>195412</v>
      </c>
      <c r="B69">
        <v>38.81</v>
      </c>
      <c r="C69">
        <v>-5.2</v>
      </c>
      <c r="F69" s="1">
        <v>195412</v>
      </c>
      <c r="G69">
        <v>36.83</v>
      </c>
      <c r="H69">
        <v>-7.09</v>
      </c>
      <c r="J69">
        <v>1954</v>
      </c>
      <c r="K69">
        <f t="shared" si="0"/>
        <v>37.82</v>
      </c>
      <c r="L69">
        <v>1954</v>
      </c>
      <c r="M69">
        <v>43.643074161505481</v>
      </c>
      <c r="N69">
        <f t="shared" si="1"/>
        <v>43.964450000000006</v>
      </c>
    </row>
    <row r="70" spans="1:14" x14ac:dyDescent="0.25">
      <c r="A70" s="1">
        <v>195512</v>
      </c>
      <c r="B70">
        <v>37.74</v>
      </c>
      <c r="C70">
        <v>-6.27</v>
      </c>
      <c r="F70" s="1">
        <v>195512</v>
      </c>
      <c r="G70">
        <v>41.63</v>
      </c>
      <c r="H70">
        <v>-2.29</v>
      </c>
      <c r="J70">
        <v>1955</v>
      </c>
      <c r="K70">
        <f t="shared" si="0"/>
        <v>39.685000000000002</v>
      </c>
      <c r="L70">
        <v>1955</v>
      </c>
      <c r="M70">
        <v>43.325700611899293</v>
      </c>
      <c r="N70">
        <f t="shared" si="1"/>
        <v>43.964450000000006</v>
      </c>
    </row>
    <row r="71" spans="1:14" x14ac:dyDescent="0.25">
      <c r="A71" s="1">
        <v>195612</v>
      </c>
      <c r="B71">
        <v>46.99</v>
      </c>
      <c r="C71">
        <v>2.98</v>
      </c>
      <c r="F71" s="1">
        <v>195612</v>
      </c>
      <c r="G71">
        <v>45.58</v>
      </c>
      <c r="H71">
        <v>1.66</v>
      </c>
      <c r="J71">
        <v>1956</v>
      </c>
      <c r="K71">
        <f t="shared" si="0"/>
        <v>46.284999999999997</v>
      </c>
      <c r="L71">
        <v>1956</v>
      </c>
      <c r="M71">
        <v>42.959981475576491</v>
      </c>
      <c r="N71">
        <f t="shared" si="1"/>
        <v>43.964450000000006</v>
      </c>
    </row>
    <row r="72" spans="1:14" x14ac:dyDescent="0.25">
      <c r="A72" s="1">
        <v>195712</v>
      </c>
      <c r="B72">
        <v>34.369999999999997</v>
      </c>
      <c r="C72">
        <v>-9.64</v>
      </c>
      <c r="F72" s="1">
        <v>195712</v>
      </c>
      <c r="G72">
        <v>35.42</v>
      </c>
      <c r="H72">
        <v>-8.5</v>
      </c>
      <c r="J72">
        <v>1957</v>
      </c>
      <c r="K72">
        <f t="shared" si="0"/>
        <v>34.894999999999996</v>
      </c>
      <c r="L72">
        <v>1957</v>
      </c>
      <c r="M72">
        <v>42.575232875059527</v>
      </c>
      <c r="N72">
        <f t="shared" si="1"/>
        <v>43.964450000000006</v>
      </c>
    </row>
    <row r="73" spans="1:14" x14ac:dyDescent="0.25">
      <c r="A73" s="1">
        <v>195812</v>
      </c>
      <c r="B73">
        <v>56.26</v>
      </c>
      <c r="C73">
        <v>12.25</v>
      </c>
      <c r="F73" s="1">
        <v>195812</v>
      </c>
      <c r="G73">
        <v>47.78</v>
      </c>
      <c r="H73">
        <v>3.86</v>
      </c>
      <c r="J73">
        <v>1958</v>
      </c>
      <c r="K73">
        <f t="shared" si="0"/>
        <v>52.019999999999996</v>
      </c>
      <c r="L73">
        <v>1958</v>
      </c>
      <c r="M73">
        <v>42.206363205027763</v>
      </c>
      <c r="N73">
        <f t="shared" si="1"/>
        <v>43.964450000000006</v>
      </c>
    </row>
    <row r="74" spans="1:14" x14ac:dyDescent="0.25">
      <c r="A74" s="1">
        <v>195912</v>
      </c>
      <c r="B74">
        <v>42.95</v>
      </c>
      <c r="C74">
        <v>-1.06</v>
      </c>
      <c r="F74" s="1">
        <v>195912</v>
      </c>
      <c r="G74">
        <v>41.53</v>
      </c>
      <c r="H74">
        <v>-2.39</v>
      </c>
      <c r="J74">
        <v>1959</v>
      </c>
      <c r="K74">
        <f t="shared" si="0"/>
        <v>42.24</v>
      </c>
      <c r="L74">
        <v>1959</v>
      </c>
      <c r="M74">
        <v>41.893623175657446</v>
      </c>
      <c r="N74">
        <f t="shared" si="1"/>
        <v>43.964450000000006</v>
      </c>
    </row>
    <row r="75" spans="1:14" x14ac:dyDescent="0.25">
      <c r="A75" s="1">
        <v>196012</v>
      </c>
      <c r="B75">
        <v>44.86</v>
      </c>
      <c r="C75">
        <v>0.85</v>
      </c>
      <c r="F75" s="1">
        <v>196012</v>
      </c>
      <c r="G75">
        <v>45.5</v>
      </c>
      <c r="H75">
        <v>1.58</v>
      </c>
      <c r="J75">
        <v>1960</v>
      </c>
      <c r="K75">
        <f t="shared" ref="K75:K132" si="2">+AVERAGE(B75,G75)</f>
        <v>45.18</v>
      </c>
      <c r="L75">
        <v>1960</v>
      </c>
      <c r="M75">
        <v>41.672582353884188</v>
      </c>
      <c r="N75">
        <f t="shared" ref="N75:N132" si="3">+AVERAGE($K$16:$K$115)</f>
        <v>43.964450000000006</v>
      </c>
    </row>
    <row r="76" spans="1:14" x14ac:dyDescent="0.25">
      <c r="A76" s="1">
        <v>196112</v>
      </c>
      <c r="B76">
        <v>45.28</v>
      </c>
      <c r="C76">
        <v>1.27</v>
      </c>
      <c r="F76" s="1">
        <v>196112</v>
      </c>
      <c r="G76">
        <v>42.09</v>
      </c>
      <c r="H76">
        <v>-1.83</v>
      </c>
      <c r="J76">
        <v>1961</v>
      </c>
      <c r="K76">
        <f t="shared" si="2"/>
        <v>43.685000000000002</v>
      </c>
      <c r="L76">
        <v>1961</v>
      </c>
      <c r="M76">
        <v>41.569133292786169</v>
      </c>
      <c r="N76">
        <f t="shared" si="3"/>
        <v>43.964450000000006</v>
      </c>
    </row>
    <row r="77" spans="1:14" x14ac:dyDescent="0.25">
      <c r="A77" s="1">
        <v>196212</v>
      </c>
      <c r="B77">
        <v>42.52</v>
      </c>
      <c r="C77">
        <v>-1.49</v>
      </c>
      <c r="F77" s="1">
        <v>196212</v>
      </c>
      <c r="G77">
        <v>40.01</v>
      </c>
      <c r="H77">
        <v>-3.91</v>
      </c>
      <c r="J77">
        <v>1962</v>
      </c>
      <c r="K77">
        <f t="shared" si="2"/>
        <v>41.265000000000001</v>
      </c>
      <c r="L77">
        <v>1962</v>
      </c>
      <c r="M77">
        <v>41.581280630539815</v>
      </c>
      <c r="N77">
        <f t="shared" si="3"/>
        <v>43.964450000000006</v>
      </c>
    </row>
    <row r="78" spans="1:14" x14ac:dyDescent="0.25">
      <c r="A78" s="1">
        <v>196312</v>
      </c>
      <c r="B78">
        <v>34.44</v>
      </c>
      <c r="C78">
        <v>-9.57</v>
      </c>
      <c r="F78" s="1">
        <v>196312</v>
      </c>
      <c r="G78">
        <v>33.369999999999997</v>
      </c>
      <c r="H78">
        <v>-10.55</v>
      </c>
      <c r="J78">
        <v>1963</v>
      </c>
      <c r="K78">
        <f t="shared" si="2"/>
        <v>33.905000000000001</v>
      </c>
      <c r="L78">
        <v>1963</v>
      </c>
      <c r="M78">
        <v>41.698040271331365</v>
      </c>
      <c r="N78">
        <f t="shared" si="3"/>
        <v>43.964450000000006</v>
      </c>
    </row>
    <row r="79" spans="1:14" x14ac:dyDescent="0.25">
      <c r="A79" s="1">
        <v>196412</v>
      </c>
      <c r="B79">
        <v>37.36</v>
      </c>
      <c r="C79">
        <v>-6.65</v>
      </c>
      <c r="F79" s="1">
        <v>196412</v>
      </c>
      <c r="G79">
        <v>35.32</v>
      </c>
      <c r="H79">
        <v>-8.6</v>
      </c>
      <c r="J79">
        <v>1964</v>
      </c>
      <c r="K79">
        <f t="shared" si="2"/>
        <v>36.340000000000003</v>
      </c>
      <c r="L79">
        <v>1964</v>
      </c>
      <c r="M79">
        <v>41.900449949756457</v>
      </c>
      <c r="N79">
        <f t="shared" si="3"/>
        <v>43.964450000000006</v>
      </c>
    </row>
    <row r="80" spans="1:14" x14ac:dyDescent="0.25">
      <c r="A80" s="1">
        <v>196512</v>
      </c>
      <c r="B80">
        <v>28.24</v>
      </c>
      <c r="C80">
        <v>-15.77</v>
      </c>
      <c r="F80" s="1">
        <v>196512</v>
      </c>
      <c r="G80">
        <v>31.1</v>
      </c>
      <c r="H80">
        <v>-12.82</v>
      </c>
      <c r="J80">
        <v>1965</v>
      </c>
      <c r="K80">
        <f t="shared" si="2"/>
        <v>29.67</v>
      </c>
      <c r="L80">
        <v>1965</v>
      </c>
      <c r="M80">
        <v>42.166779378061094</v>
      </c>
      <c r="N80">
        <f t="shared" si="3"/>
        <v>43.964450000000006</v>
      </c>
    </row>
    <row r="81" spans="1:14" x14ac:dyDescent="0.25">
      <c r="A81" s="1">
        <v>196612</v>
      </c>
      <c r="B81">
        <v>40.520000000000003</v>
      </c>
      <c r="C81">
        <v>-3.49</v>
      </c>
      <c r="F81" s="1">
        <v>196612</v>
      </c>
      <c r="G81">
        <v>37.950000000000003</v>
      </c>
      <c r="H81">
        <v>-5.97</v>
      </c>
      <c r="J81">
        <v>1966</v>
      </c>
      <c r="K81">
        <f t="shared" si="2"/>
        <v>39.234999999999999</v>
      </c>
      <c r="L81">
        <v>1966</v>
      </c>
      <c r="M81">
        <v>42.473848274361046</v>
      </c>
      <c r="N81">
        <f t="shared" si="3"/>
        <v>43.964450000000006</v>
      </c>
    </row>
    <row r="82" spans="1:14" x14ac:dyDescent="0.25">
      <c r="A82" s="1">
        <v>196712</v>
      </c>
      <c r="B82">
        <v>45.05</v>
      </c>
      <c r="C82">
        <v>1.04</v>
      </c>
      <c r="F82" s="1">
        <v>196712</v>
      </c>
      <c r="G82">
        <v>44.1</v>
      </c>
      <c r="H82">
        <v>0.18</v>
      </c>
      <c r="J82">
        <v>1967</v>
      </c>
      <c r="K82">
        <f t="shared" si="2"/>
        <v>44.575000000000003</v>
      </c>
      <c r="L82">
        <v>1967</v>
      </c>
      <c r="M82">
        <v>42.805025476893654</v>
      </c>
      <c r="N82">
        <f t="shared" si="3"/>
        <v>43.964450000000006</v>
      </c>
    </row>
    <row r="83" spans="1:14" x14ac:dyDescent="0.25">
      <c r="A83" s="1">
        <v>196812</v>
      </c>
      <c r="B83">
        <v>38.619999999999997</v>
      </c>
      <c r="C83">
        <v>-5.39</v>
      </c>
      <c r="F83" s="1">
        <v>196812</v>
      </c>
      <c r="G83">
        <v>38.729999999999997</v>
      </c>
      <c r="H83">
        <v>-5.19</v>
      </c>
      <c r="J83">
        <v>1968</v>
      </c>
      <c r="K83">
        <f t="shared" si="2"/>
        <v>38.674999999999997</v>
      </c>
      <c r="L83">
        <v>1968</v>
      </c>
      <c r="M83">
        <v>43.137270615196783</v>
      </c>
      <c r="N83">
        <f t="shared" si="3"/>
        <v>43.964450000000006</v>
      </c>
    </row>
    <row r="84" spans="1:14" x14ac:dyDescent="0.25">
      <c r="A84" s="1">
        <v>196912</v>
      </c>
      <c r="B84">
        <v>46.17</v>
      </c>
      <c r="C84">
        <v>2.16</v>
      </c>
      <c r="F84" s="1">
        <v>196912</v>
      </c>
      <c r="G84">
        <v>41.57</v>
      </c>
      <c r="H84">
        <v>-2.35</v>
      </c>
      <c r="J84">
        <v>1969</v>
      </c>
      <c r="K84">
        <f t="shared" si="2"/>
        <v>43.870000000000005</v>
      </c>
      <c r="L84">
        <v>1969</v>
      </c>
      <c r="M84">
        <v>43.459621702080454</v>
      </c>
      <c r="N84">
        <f t="shared" si="3"/>
        <v>43.964450000000006</v>
      </c>
    </row>
    <row r="85" spans="1:14" x14ac:dyDescent="0.25">
      <c r="A85" s="1">
        <v>197012</v>
      </c>
      <c r="B85">
        <v>39.92</v>
      </c>
      <c r="C85">
        <v>-4.09</v>
      </c>
      <c r="F85" s="1">
        <v>197012</v>
      </c>
      <c r="G85">
        <v>43.12</v>
      </c>
      <c r="H85">
        <v>-0.8</v>
      </c>
      <c r="J85">
        <v>1970</v>
      </c>
      <c r="K85">
        <f t="shared" si="2"/>
        <v>41.519999999999996</v>
      </c>
      <c r="L85">
        <v>1970</v>
      </c>
      <c r="M85">
        <v>43.776452202840794</v>
      </c>
      <c r="N85">
        <f t="shared" si="3"/>
        <v>43.964450000000006</v>
      </c>
    </row>
    <row r="86" spans="1:14" x14ac:dyDescent="0.25">
      <c r="A86" s="1">
        <v>197112</v>
      </c>
      <c r="B86">
        <v>50.64</v>
      </c>
      <c r="C86">
        <v>6.63</v>
      </c>
      <c r="F86" s="1">
        <v>197112</v>
      </c>
      <c r="G86">
        <v>50.63</v>
      </c>
      <c r="H86">
        <v>6.71</v>
      </c>
      <c r="J86">
        <v>1971</v>
      </c>
      <c r="K86">
        <f t="shared" si="2"/>
        <v>50.635000000000005</v>
      </c>
      <c r="L86">
        <v>1971</v>
      </c>
      <c r="M86">
        <v>44.114545558447034</v>
      </c>
      <c r="N86">
        <f t="shared" si="3"/>
        <v>43.964450000000006</v>
      </c>
    </row>
    <row r="87" spans="1:14" x14ac:dyDescent="0.25">
      <c r="A87" s="1">
        <v>197212</v>
      </c>
      <c r="B87">
        <v>55.15</v>
      </c>
      <c r="C87">
        <v>11.14</v>
      </c>
      <c r="F87" s="1">
        <v>197212</v>
      </c>
      <c r="G87">
        <v>54.87</v>
      </c>
      <c r="H87">
        <v>10.95</v>
      </c>
      <c r="J87">
        <v>1972</v>
      </c>
      <c r="K87">
        <f t="shared" si="2"/>
        <v>55.01</v>
      </c>
      <c r="L87">
        <v>1972</v>
      </c>
      <c r="M87">
        <v>44.496476959012178</v>
      </c>
      <c r="N87">
        <f t="shared" si="3"/>
        <v>43.964450000000006</v>
      </c>
    </row>
    <row r="88" spans="1:14" x14ac:dyDescent="0.25">
      <c r="A88" s="1">
        <v>197312</v>
      </c>
      <c r="B88">
        <v>47.75</v>
      </c>
      <c r="C88">
        <v>3.74</v>
      </c>
      <c r="F88" s="1">
        <v>197312</v>
      </c>
      <c r="G88">
        <v>50.11</v>
      </c>
      <c r="H88">
        <v>6.19</v>
      </c>
      <c r="J88">
        <v>1973</v>
      </c>
      <c r="K88">
        <f t="shared" si="2"/>
        <v>48.93</v>
      </c>
      <c r="L88">
        <v>1973</v>
      </c>
      <c r="M88">
        <v>44.896645301437474</v>
      </c>
      <c r="N88">
        <f t="shared" si="3"/>
        <v>43.964450000000006</v>
      </c>
    </row>
    <row r="89" spans="1:14" x14ac:dyDescent="0.25">
      <c r="A89" s="1">
        <v>197412</v>
      </c>
      <c r="B89">
        <v>41.81</v>
      </c>
      <c r="C89">
        <v>-2.2000000000000002</v>
      </c>
      <c r="F89" s="1">
        <v>197412</v>
      </c>
      <c r="G89">
        <v>43.41</v>
      </c>
      <c r="H89">
        <v>-0.51</v>
      </c>
      <c r="J89">
        <v>1974</v>
      </c>
      <c r="K89">
        <f t="shared" si="2"/>
        <v>42.61</v>
      </c>
      <c r="L89">
        <v>1974</v>
      </c>
      <c r="M89">
        <v>45.278573005255417</v>
      </c>
      <c r="N89">
        <f t="shared" si="3"/>
        <v>43.964450000000006</v>
      </c>
    </row>
    <row r="90" spans="1:14" x14ac:dyDescent="0.25">
      <c r="A90" s="1">
        <v>197512</v>
      </c>
      <c r="B90">
        <v>55.4</v>
      </c>
      <c r="C90">
        <v>11.39</v>
      </c>
      <c r="F90" s="1">
        <v>197512</v>
      </c>
      <c r="G90">
        <v>57.86</v>
      </c>
      <c r="H90">
        <v>13.94</v>
      </c>
      <c r="J90">
        <v>1975</v>
      </c>
      <c r="K90">
        <f t="shared" si="2"/>
        <v>56.629999999999995</v>
      </c>
      <c r="L90">
        <v>1975</v>
      </c>
      <c r="M90">
        <v>45.596487426863781</v>
      </c>
      <c r="N90">
        <f t="shared" si="3"/>
        <v>43.964450000000006</v>
      </c>
    </row>
    <row r="91" spans="1:14" x14ac:dyDescent="0.25">
      <c r="A91" s="1">
        <v>197612</v>
      </c>
      <c r="B91">
        <v>36.130000000000003</v>
      </c>
      <c r="C91">
        <v>-7.88</v>
      </c>
      <c r="F91" s="1">
        <v>197612</v>
      </c>
      <c r="G91">
        <v>43.01</v>
      </c>
      <c r="H91">
        <v>-0.91</v>
      </c>
      <c r="J91">
        <v>1976</v>
      </c>
      <c r="K91">
        <f t="shared" si="2"/>
        <v>39.57</v>
      </c>
      <c r="L91">
        <v>1976</v>
      </c>
      <c r="M91">
        <v>45.810634282982967</v>
      </c>
      <c r="N91">
        <f t="shared" si="3"/>
        <v>43.964450000000006</v>
      </c>
    </row>
    <row r="92" spans="1:14" x14ac:dyDescent="0.25">
      <c r="A92" s="1">
        <v>197712</v>
      </c>
      <c r="B92">
        <v>46.43</v>
      </c>
      <c r="C92">
        <v>2.42</v>
      </c>
      <c r="F92" s="1">
        <v>197712</v>
      </c>
      <c r="G92">
        <v>48.43</v>
      </c>
      <c r="H92">
        <v>4.51</v>
      </c>
      <c r="J92">
        <v>1977</v>
      </c>
      <c r="K92">
        <f t="shared" si="2"/>
        <v>47.43</v>
      </c>
      <c r="L92">
        <v>1977</v>
      </c>
      <c r="M92">
        <v>45.911910495632469</v>
      </c>
      <c r="N92">
        <f t="shared" si="3"/>
        <v>43.964450000000006</v>
      </c>
    </row>
    <row r="93" spans="1:14" x14ac:dyDescent="0.25">
      <c r="A93" s="1">
        <v>197812</v>
      </c>
      <c r="B93">
        <v>47.91</v>
      </c>
      <c r="C93">
        <v>3.9</v>
      </c>
      <c r="F93" s="1">
        <v>197812</v>
      </c>
      <c r="G93">
        <v>47.18</v>
      </c>
      <c r="H93">
        <v>3.26</v>
      </c>
      <c r="J93">
        <v>1978</v>
      </c>
      <c r="K93">
        <f t="shared" si="2"/>
        <v>47.545000000000002</v>
      </c>
      <c r="L93">
        <v>1978</v>
      </c>
      <c r="M93">
        <v>45.912961688115672</v>
      </c>
      <c r="N93">
        <f t="shared" si="3"/>
        <v>43.964450000000006</v>
      </c>
    </row>
    <row r="94" spans="1:14" x14ac:dyDescent="0.25">
      <c r="A94" s="1">
        <v>197912</v>
      </c>
      <c r="B94">
        <v>55.82</v>
      </c>
      <c r="C94">
        <v>11.81</v>
      </c>
      <c r="F94" s="1">
        <v>197912</v>
      </c>
      <c r="G94">
        <v>55.86</v>
      </c>
      <c r="H94">
        <v>11.94</v>
      </c>
      <c r="J94">
        <v>1979</v>
      </c>
      <c r="K94">
        <f t="shared" si="2"/>
        <v>55.84</v>
      </c>
      <c r="L94">
        <v>1979</v>
      </c>
      <c r="M94">
        <v>45.825341860388697</v>
      </c>
      <c r="N94">
        <f t="shared" si="3"/>
        <v>43.964450000000006</v>
      </c>
    </row>
    <row r="95" spans="1:14" x14ac:dyDescent="0.25">
      <c r="A95" s="1">
        <v>198012</v>
      </c>
      <c r="B95">
        <v>38.1</v>
      </c>
      <c r="C95">
        <v>-5.91</v>
      </c>
      <c r="F95" s="1">
        <v>198012</v>
      </c>
      <c r="G95">
        <v>34.659999999999997</v>
      </c>
      <c r="H95">
        <v>-9.26</v>
      </c>
      <c r="J95">
        <v>1980</v>
      </c>
      <c r="K95">
        <f t="shared" si="2"/>
        <v>36.379999999999995</v>
      </c>
      <c r="L95">
        <v>1980</v>
      </c>
      <c r="M95">
        <v>45.664934839041919</v>
      </c>
      <c r="N95">
        <f t="shared" si="3"/>
        <v>43.964450000000006</v>
      </c>
    </row>
    <row r="96" spans="1:14" x14ac:dyDescent="0.25">
      <c r="A96" s="1">
        <v>198112</v>
      </c>
      <c r="B96">
        <v>38.159999999999997</v>
      </c>
      <c r="C96">
        <v>-5.85</v>
      </c>
      <c r="F96" s="1">
        <v>198112</v>
      </c>
      <c r="G96">
        <v>37.590000000000003</v>
      </c>
      <c r="H96">
        <v>-6.33</v>
      </c>
      <c r="J96">
        <v>1981</v>
      </c>
      <c r="K96">
        <f t="shared" si="2"/>
        <v>37.875</v>
      </c>
      <c r="L96">
        <v>1981</v>
      </c>
      <c r="M96">
        <v>45.446543526686085</v>
      </c>
      <c r="N96">
        <f t="shared" si="3"/>
        <v>43.964450000000006</v>
      </c>
    </row>
    <row r="97" spans="1:14" x14ac:dyDescent="0.25">
      <c r="A97" s="1">
        <v>198212</v>
      </c>
      <c r="B97">
        <v>38.75</v>
      </c>
      <c r="C97">
        <v>-5.26</v>
      </c>
      <c r="F97" s="1">
        <v>198212</v>
      </c>
      <c r="G97">
        <v>42.09</v>
      </c>
      <c r="H97">
        <v>-1.83</v>
      </c>
      <c r="J97">
        <v>1982</v>
      </c>
      <c r="K97">
        <f t="shared" si="2"/>
        <v>40.42</v>
      </c>
      <c r="L97">
        <v>1982</v>
      </c>
      <c r="M97">
        <v>45.191787441771233</v>
      </c>
      <c r="N97">
        <f t="shared" si="3"/>
        <v>43.964450000000006</v>
      </c>
    </row>
    <row r="98" spans="1:14" x14ac:dyDescent="0.25">
      <c r="A98" s="1">
        <v>198312</v>
      </c>
      <c r="B98">
        <v>55.83</v>
      </c>
      <c r="C98">
        <v>11.82</v>
      </c>
      <c r="F98" s="1">
        <v>198312</v>
      </c>
      <c r="G98">
        <v>54.76</v>
      </c>
      <c r="H98">
        <v>10.84</v>
      </c>
      <c r="J98">
        <v>1983</v>
      </c>
      <c r="K98">
        <f t="shared" si="2"/>
        <v>55.295000000000002</v>
      </c>
      <c r="L98">
        <v>1983</v>
      </c>
      <c r="M98">
        <v>44.936822565969109</v>
      </c>
      <c r="N98">
        <f t="shared" si="3"/>
        <v>43.964450000000006</v>
      </c>
    </row>
    <row r="99" spans="1:14" x14ac:dyDescent="0.25">
      <c r="A99" s="1">
        <v>198412</v>
      </c>
      <c r="B99">
        <v>46.86</v>
      </c>
      <c r="C99">
        <v>2.85</v>
      </c>
      <c r="F99" s="1">
        <v>198412</v>
      </c>
      <c r="G99">
        <v>48.13</v>
      </c>
      <c r="H99">
        <v>4.21</v>
      </c>
      <c r="J99">
        <v>1984</v>
      </c>
      <c r="K99">
        <f t="shared" si="2"/>
        <v>47.495000000000005</v>
      </c>
      <c r="L99">
        <v>1984</v>
      </c>
      <c r="M99">
        <v>44.733883125099794</v>
      </c>
      <c r="N99">
        <f t="shared" si="3"/>
        <v>43.964450000000006</v>
      </c>
    </row>
    <row r="100" spans="1:14" x14ac:dyDescent="0.25">
      <c r="A100" s="1">
        <v>198512</v>
      </c>
      <c r="B100">
        <v>37.5</v>
      </c>
      <c r="C100">
        <v>-6.51</v>
      </c>
      <c r="F100" s="1">
        <v>198512</v>
      </c>
      <c r="G100">
        <v>39.200000000000003</v>
      </c>
      <c r="H100">
        <v>-4.72</v>
      </c>
      <c r="J100">
        <v>1985</v>
      </c>
      <c r="K100">
        <f t="shared" si="2"/>
        <v>38.35</v>
      </c>
      <c r="L100">
        <v>1985</v>
      </c>
      <c r="M100">
        <v>44.599822492652912</v>
      </c>
      <c r="N100">
        <f t="shared" si="3"/>
        <v>43.964450000000006</v>
      </c>
    </row>
    <row r="101" spans="1:14" x14ac:dyDescent="0.25">
      <c r="A101" s="1">
        <v>198612</v>
      </c>
      <c r="B101">
        <v>43.82</v>
      </c>
      <c r="C101">
        <v>-0.19</v>
      </c>
      <c r="F101" s="1">
        <v>198612</v>
      </c>
      <c r="G101">
        <v>44.32</v>
      </c>
      <c r="H101">
        <v>0.4</v>
      </c>
      <c r="J101">
        <v>1986</v>
      </c>
      <c r="K101">
        <f t="shared" si="2"/>
        <v>44.07</v>
      </c>
      <c r="L101">
        <v>1986</v>
      </c>
      <c r="M101">
        <v>44.51807691453044</v>
      </c>
      <c r="N101">
        <f t="shared" si="3"/>
        <v>43.964450000000006</v>
      </c>
    </row>
    <row r="102" spans="1:14" x14ac:dyDescent="0.25">
      <c r="A102" s="1">
        <v>198712</v>
      </c>
      <c r="B102">
        <v>43.42</v>
      </c>
      <c r="C102">
        <v>-0.59</v>
      </c>
      <c r="F102" s="1">
        <v>198712</v>
      </c>
      <c r="G102">
        <v>40.909999999999997</v>
      </c>
      <c r="H102">
        <v>-3.01</v>
      </c>
      <c r="J102">
        <v>1987</v>
      </c>
      <c r="K102">
        <f t="shared" si="2"/>
        <v>42.164999999999999</v>
      </c>
      <c r="L102">
        <v>1987</v>
      </c>
      <c r="M102">
        <v>44.470949457345199</v>
      </c>
      <c r="N102">
        <f t="shared" si="3"/>
        <v>43.964450000000006</v>
      </c>
    </row>
    <row r="103" spans="1:14" x14ac:dyDescent="0.25">
      <c r="A103" s="1">
        <v>198812</v>
      </c>
      <c r="B103">
        <v>38.049999999999997</v>
      </c>
      <c r="C103">
        <v>-5.96</v>
      </c>
      <c r="F103" s="1">
        <v>198812</v>
      </c>
      <c r="G103">
        <v>40.950000000000003</v>
      </c>
      <c r="H103">
        <v>-2.97</v>
      </c>
      <c r="J103">
        <v>1988</v>
      </c>
      <c r="K103">
        <f t="shared" si="2"/>
        <v>39.5</v>
      </c>
      <c r="L103">
        <v>1988</v>
      </c>
      <c r="M103">
        <v>44.447264335010594</v>
      </c>
      <c r="N103">
        <f t="shared" si="3"/>
        <v>43.964450000000006</v>
      </c>
    </row>
    <row r="104" spans="1:14" x14ac:dyDescent="0.25">
      <c r="A104" s="1">
        <v>198912</v>
      </c>
      <c r="B104">
        <v>54.91</v>
      </c>
      <c r="C104">
        <v>10.9</v>
      </c>
      <c r="F104" s="1">
        <v>198912</v>
      </c>
      <c r="G104">
        <v>49.65</v>
      </c>
      <c r="H104">
        <v>5.73</v>
      </c>
      <c r="J104">
        <v>1989</v>
      </c>
      <c r="K104">
        <f t="shared" si="2"/>
        <v>52.28</v>
      </c>
      <c r="L104">
        <v>1989</v>
      </c>
      <c r="M104">
        <v>44.429385509105948</v>
      </c>
      <c r="N104">
        <f t="shared" si="3"/>
        <v>43.964450000000006</v>
      </c>
    </row>
    <row r="105" spans="1:14" x14ac:dyDescent="0.25">
      <c r="A105" s="1">
        <v>199012</v>
      </c>
      <c r="B105">
        <v>45.17</v>
      </c>
      <c r="C105">
        <v>1.1599999999999999</v>
      </c>
      <c r="F105" s="1">
        <v>199012</v>
      </c>
      <c r="G105">
        <v>47.39</v>
      </c>
      <c r="H105">
        <v>3.47</v>
      </c>
      <c r="J105">
        <v>1990</v>
      </c>
      <c r="K105">
        <f t="shared" si="2"/>
        <v>46.28</v>
      </c>
      <c r="L105">
        <v>1990</v>
      </c>
      <c r="M105">
        <v>44.408623756990458</v>
      </c>
      <c r="N105">
        <f t="shared" si="3"/>
        <v>43.964450000000006</v>
      </c>
    </row>
    <row r="106" spans="1:14" x14ac:dyDescent="0.25">
      <c r="A106" s="1">
        <v>199112</v>
      </c>
      <c r="B106">
        <v>42.99</v>
      </c>
      <c r="C106">
        <v>-1.02</v>
      </c>
      <c r="F106" s="1">
        <v>199112</v>
      </c>
      <c r="G106">
        <v>37.74</v>
      </c>
      <c r="H106">
        <v>-6.18</v>
      </c>
      <c r="J106">
        <v>1991</v>
      </c>
      <c r="K106">
        <f t="shared" si="2"/>
        <v>40.365000000000002</v>
      </c>
      <c r="L106">
        <v>1991</v>
      </c>
      <c r="M106">
        <v>44.412492843867867</v>
      </c>
      <c r="N106">
        <f t="shared" si="3"/>
        <v>43.964450000000006</v>
      </c>
    </row>
    <row r="107" spans="1:14" x14ac:dyDescent="0.25">
      <c r="A107" s="1">
        <v>199212</v>
      </c>
      <c r="B107">
        <v>40.01</v>
      </c>
      <c r="C107">
        <v>-4</v>
      </c>
      <c r="F107" s="1">
        <v>199212</v>
      </c>
      <c r="G107">
        <v>39.450000000000003</v>
      </c>
      <c r="H107">
        <v>-4.47</v>
      </c>
      <c r="J107">
        <v>1992</v>
      </c>
      <c r="K107">
        <f t="shared" si="2"/>
        <v>39.730000000000004</v>
      </c>
      <c r="L107">
        <v>1992</v>
      </c>
      <c r="M107">
        <v>44.455945539520272</v>
      </c>
      <c r="N107">
        <f t="shared" si="3"/>
        <v>43.964450000000006</v>
      </c>
    </row>
    <row r="108" spans="1:14" x14ac:dyDescent="0.25">
      <c r="A108" s="1">
        <v>199312</v>
      </c>
      <c r="B108">
        <v>44.23</v>
      </c>
      <c r="C108">
        <v>0.22</v>
      </c>
      <c r="F108" s="1">
        <v>199312</v>
      </c>
      <c r="G108">
        <v>49.53</v>
      </c>
      <c r="H108">
        <v>5.61</v>
      </c>
      <c r="J108">
        <v>1993</v>
      </c>
      <c r="K108">
        <f t="shared" si="2"/>
        <v>46.879999999999995</v>
      </c>
      <c r="L108">
        <v>1993</v>
      </c>
      <c r="M108">
        <v>44.535273354145183</v>
      </c>
      <c r="N108">
        <f t="shared" si="3"/>
        <v>43.964450000000006</v>
      </c>
    </row>
    <row r="109" spans="1:14" x14ac:dyDescent="0.25">
      <c r="A109" s="1">
        <v>199412</v>
      </c>
      <c r="B109">
        <v>46.44</v>
      </c>
      <c r="C109">
        <v>2.4300000000000002</v>
      </c>
      <c r="F109" s="1">
        <v>199412</v>
      </c>
      <c r="G109">
        <v>47.98</v>
      </c>
      <c r="H109">
        <v>4.0599999999999996</v>
      </c>
      <c r="J109">
        <v>1994</v>
      </c>
      <c r="K109">
        <f t="shared" si="2"/>
        <v>47.209999999999994</v>
      </c>
      <c r="L109">
        <v>1994</v>
      </c>
      <c r="M109">
        <v>44.645785964290504</v>
      </c>
      <c r="N109">
        <f t="shared" si="3"/>
        <v>43.964450000000006</v>
      </c>
    </row>
    <row r="110" spans="1:14" x14ac:dyDescent="0.25">
      <c r="A110" s="1">
        <v>199512</v>
      </c>
      <c r="B110">
        <v>38.979999999999997</v>
      </c>
      <c r="C110">
        <v>-5.03</v>
      </c>
      <c r="F110" s="1">
        <v>199512</v>
      </c>
      <c r="G110">
        <v>40.270000000000003</v>
      </c>
      <c r="H110">
        <v>-3.65</v>
      </c>
      <c r="J110">
        <v>1995</v>
      </c>
      <c r="K110">
        <f t="shared" si="2"/>
        <v>39.625</v>
      </c>
      <c r="L110">
        <v>1995</v>
      </c>
      <c r="M110">
        <v>44.797906183870147</v>
      </c>
      <c r="N110">
        <f t="shared" si="3"/>
        <v>43.964450000000006</v>
      </c>
    </row>
    <row r="111" spans="1:14" x14ac:dyDescent="0.25">
      <c r="A111" s="1">
        <v>199612</v>
      </c>
      <c r="B111">
        <v>57.4</v>
      </c>
      <c r="C111">
        <v>13.39</v>
      </c>
      <c r="F111" s="1">
        <v>199612</v>
      </c>
      <c r="G111">
        <v>60.78</v>
      </c>
      <c r="H111">
        <v>16.86</v>
      </c>
      <c r="J111">
        <v>1996</v>
      </c>
      <c r="K111">
        <f t="shared" si="2"/>
        <v>59.09</v>
      </c>
      <c r="L111">
        <v>1996</v>
      </c>
      <c r="M111">
        <v>44.99921494927743</v>
      </c>
      <c r="N111">
        <f t="shared" si="3"/>
        <v>43.964450000000006</v>
      </c>
    </row>
    <row r="112" spans="1:14" x14ac:dyDescent="0.25">
      <c r="A112" s="1">
        <v>199712</v>
      </c>
      <c r="B112">
        <v>42.64</v>
      </c>
      <c r="C112">
        <v>-1.37</v>
      </c>
      <c r="F112" s="1">
        <v>199712</v>
      </c>
      <c r="G112">
        <v>35.85</v>
      </c>
      <c r="H112">
        <v>-8.07</v>
      </c>
      <c r="J112">
        <v>1997</v>
      </c>
      <c r="K112">
        <f t="shared" si="2"/>
        <v>39.245000000000005</v>
      </c>
      <c r="L112">
        <v>1997</v>
      </c>
      <c r="M112">
        <v>45.244562516457592</v>
      </c>
      <c r="N112">
        <f t="shared" si="3"/>
        <v>43.964450000000006</v>
      </c>
    </row>
    <row r="113" spans="1:14" x14ac:dyDescent="0.25">
      <c r="A113" s="1">
        <v>199812</v>
      </c>
      <c r="B113">
        <v>40.01</v>
      </c>
      <c r="C113">
        <v>-4</v>
      </c>
      <c r="F113" s="1">
        <v>199812</v>
      </c>
      <c r="G113">
        <v>42.57</v>
      </c>
      <c r="H113">
        <v>-1.35</v>
      </c>
      <c r="J113">
        <v>1998</v>
      </c>
      <c r="K113">
        <f t="shared" si="2"/>
        <v>41.29</v>
      </c>
      <c r="L113">
        <v>1998</v>
      </c>
      <c r="M113">
        <v>45.499436911906407</v>
      </c>
      <c r="N113">
        <f t="shared" si="3"/>
        <v>43.964450000000006</v>
      </c>
    </row>
    <row r="114" spans="1:14" x14ac:dyDescent="0.25">
      <c r="A114" s="1">
        <v>199912</v>
      </c>
      <c r="B114">
        <v>47.35</v>
      </c>
      <c r="C114">
        <v>3.34</v>
      </c>
      <c r="F114" s="1">
        <v>199912</v>
      </c>
      <c r="G114">
        <v>46.25</v>
      </c>
      <c r="H114">
        <v>2.33</v>
      </c>
      <c r="J114">
        <v>1999</v>
      </c>
      <c r="K114">
        <f t="shared" si="2"/>
        <v>46.8</v>
      </c>
      <c r="L114">
        <v>1999</v>
      </c>
      <c r="M114">
        <v>45.760835293927492</v>
      </c>
      <c r="N114">
        <f t="shared" si="3"/>
        <v>43.964450000000006</v>
      </c>
    </row>
    <row r="115" spans="1:14" x14ac:dyDescent="0.25">
      <c r="A115" s="1">
        <v>200012</v>
      </c>
      <c r="B115">
        <v>44.38</v>
      </c>
      <c r="C115">
        <v>0.37</v>
      </c>
      <c r="F115" s="1">
        <v>200012</v>
      </c>
      <c r="G115">
        <v>44.45</v>
      </c>
      <c r="H115">
        <v>0.53</v>
      </c>
      <c r="J115">
        <v>2000</v>
      </c>
      <c r="K115">
        <f t="shared" si="2"/>
        <v>44.415000000000006</v>
      </c>
      <c r="L115">
        <v>2000</v>
      </c>
      <c r="M115">
        <v>46.027936015607551</v>
      </c>
      <c r="N115">
        <f t="shared" si="3"/>
        <v>43.964450000000006</v>
      </c>
    </row>
    <row r="116" spans="1:14" x14ac:dyDescent="0.25">
      <c r="A116" s="1">
        <v>200112</v>
      </c>
      <c r="B116">
        <v>34.61</v>
      </c>
      <c r="C116">
        <v>-9.4</v>
      </c>
      <c r="F116" s="1">
        <v>200112</v>
      </c>
      <c r="G116">
        <v>34.619999999999997</v>
      </c>
      <c r="H116">
        <v>-9.3000000000000007</v>
      </c>
      <c r="J116">
        <v>2001</v>
      </c>
      <c r="K116">
        <f t="shared" si="2"/>
        <v>34.614999999999995</v>
      </c>
      <c r="L116">
        <v>2001</v>
      </c>
      <c r="M116">
        <v>46.29341232667764</v>
      </c>
      <c r="N116">
        <f t="shared" si="3"/>
        <v>43.964450000000006</v>
      </c>
    </row>
    <row r="117" spans="1:14" x14ac:dyDescent="0.25">
      <c r="A117" s="1">
        <v>200212</v>
      </c>
      <c r="B117">
        <v>45.11</v>
      </c>
      <c r="C117">
        <v>1.1000000000000001</v>
      </c>
      <c r="F117" s="1">
        <v>200212</v>
      </c>
      <c r="G117">
        <v>44.44</v>
      </c>
      <c r="H117">
        <v>0.52</v>
      </c>
      <c r="J117">
        <v>2002</v>
      </c>
      <c r="K117">
        <f t="shared" si="2"/>
        <v>44.774999999999999</v>
      </c>
      <c r="L117">
        <v>2002</v>
      </c>
      <c r="M117">
        <v>46.553478158850353</v>
      </c>
      <c r="N117">
        <f t="shared" si="3"/>
        <v>43.964450000000006</v>
      </c>
    </row>
    <row r="118" spans="1:14" x14ac:dyDescent="0.25">
      <c r="A118" s="1">
        <v>200312</v>
      </c>
      <c r="B118">
        <v>53.71</v>
      </c>
      <c r="C118">
        <v>9.6999999999999993</v>
      </c>
      <c r="F118" s="1">
        <v>200312</v>
      </c>
      <c r="G118">
        <v>58.43</v>
      </c>
      <c r="H118">
        <v>14.51</v>
      </c>
      <c r="J118">
        <v>2003</v>
      </c>
      <c r="K118">
        <f t="shared" si="2"/>
        <v>56.07</v>
      </c>
      <c r="L118">
        <v>2003</v>
      </c>
      <c r="M118">
        <v>46.763465687812811</v>
      </c>
      <c r="N118">
        <f t="shared" si="3"/>
        <v>43.964450000000006</v>
      </c>
    </row>
    <row r="119" spans="1:14" x14ac:dyDescent="0.25">
      <c r="A119" s="1">
        <v>200412</v>
      </c>
      <c r="B119">
        <v>46.79</v>
      </c>
      <c r="C119">
        <v>2.78</v>
      </c>
      <c r="F119" s="1">
        <v>200412</v>
      </c>
      <c r="G119">
        <v>54.34</v>
      </c>
      <c r="H119">
        <v>10.42</v>
      </c>
      <c r="J119">
        <v>2004</v>
      </c>
      <c r="K119">
        <f t="shared" si="2"/>
        <v>50.564999999999998</v>
      </c>
      <c r="L119">
        <v>2004</v>
      </c>
      <c r="M119">
        <v>46.853577643826412</v>
      </c>
      <c r="N119">
        <f t="shared" si="3"/>
        <v>43.964450000000006</v>
      </c>
    </row>
    <row r="120" spans="1:14" x14ac:dyDescent="0.25">
      <c r="A120" s="1">
        <v>200512</v>
      </c>
      <c r="B120">
        <v>47.19</v>
      </c>
      <c r="C120">
        <v>3.18</v>
      </c>
      <c r="F120" s="1">
        <v>200512</v>
      </c>
      <c r="G120">
        <v>46.46</v>
      </c>
      <c r="H120">
        <v>2.54</v>
      </c>
      <c r="J120">
        <v>2005</v>
      </c>
      <c r="K120">
        <f t="shared" si="2"/>
        <v>46.825000000000003</v>
      </c>
      <c r="L120">
        <v>2005</v>
      </c>
      <c r="M120">
        <v>46.892537391531974</v>
      </c>
      <c r="N120">
        <f t="shared" si="3"/>
        <v>43.964450000000006</v>
      </c>
    </row>
    <row r="121" spans="1:14" x14ac:dyDescent="0.25">
      <c r="A121" s="1">
        <v>200612</v>
      </c>
      <c r="B121">
        <v>50.51</v>
      </c>
      <c r="C121">
        <v>6.5</v>
      </c>
      <c r="F121" s="1">
        <v>200612</v>
      </c>
      <c r="G121">
        <v>51.61</v>
      </c>
      <c r="H121">
        <v>7.69</v>
      </c>
      <c r="J121">
        <v>2006</v>
      </c>
      <c r="K121">
        <f t="shared" si="2"/>
        <v>51.06</v>
      </c>
      <c r="L121">
        <v>2006</v>
      </c>
      <c r="M121">
        <v>46.918254669821387</v>
      </c>
      <c r="N121">
        <f t="shared" si="3"/>
        <v>43.964450000000006</v>
      </c>
    </row>
    <row r="122" spans="1:14" x14ac:dyDescent="0.25">
      <c r="A122" s="1">
        <v>200712</v>
      </c>
      <c r="B122">
        <v>43.49</v>
      </c>
      <c r="C122">
        <v>-0.52</v>
      </c>
      <c r="F122" s="1">
        <v>200712</v>
      </c>
      <c r="G122">
        <v>46.06</v>
      </c>
      <c r="H122">
        <v>2.14</v>
      </c>
      <c r="J122">
        <v>2007</v>
      </c>
      <c r="K122">
        <f t="shared" si="2"/>
        <v>44.775000000000006</v>
      </c>
      <c r="L122">
        <v>2007</v>
      </c>
      <c r="M122">
        <v>46.941149549372057</v>
      </c>
      <c r="N122">
        <f t="shared" si="3"/>
        <v>43.964450000000006</v>
      </c>
    </row>
    <row r="123" spans="1:14" x14ac:dyDescent="0.25">
      <c r="A123" s="1">
        <v>200812</v>
      </c>
      <c r="B123">
        <v>44.89</v>
      </c>
      <c r="C123">
        <v>0.88</v>
      </c>
      <c r="F123" s="1">
        <v>200812</v>
      </c>
      <c r="G123">
        <v>46.68</v>
      </c>
      <c r="H123">
        <v>2.76</v>
      </c>
      <c r="J123">
        <v>2008</v>
      </c>
      <c r="K123">
        <f t="shared" si="2"/>
        <v>45.784999999999997</v>
      </c>
      <c r="L123">
        <v>2008</v>
      </c>
      <c r="M123">
        <v>46.963339530146001</v>
      </c>
      <c r="N123">
        <f t="shared" si="3"/>
        <v>43.964450000000006</v>
      </c>
    </row>
    <row r="124" spans="1:14" x14ac:dyDescent="0.25">
      <c r="A124" s="1">
        <v>200912</v>
      </c>
      <c r="B124">
        <v>55.6</v>
      </c>
      <c r="C124">
        <v>11.59</v>
      </c>
      <c r="F124" s="1">
        <v>200912</v>
      </c>
      <c r="G124">
        <v>50.66</v>
      </c>
      <c r="H124">
        <v>6.74</v>
      </c>
      <c r="J124">
        <v>2009</v>
      </c>
      <c r="K124">
        <f t="shared" si="2"/>
        <v>53.129999999999995</v>
      </c>
      <c r="L124">
        <v>2009</v>
      </c>
      <c r="M124">
        <v>46.985226311964361</v>
      </c>
      <c r="N124">
        <f t="shared" si="3"/>
        <v>43.964450000000006</v>
      </c>
    </row>
    <row r="125" spans="1:14" x14ac:dyDescent="0.25">
      <c r="A125" s="1">
        <v>201012</v>
      </c>
      <c r="B125">
        <v>42.82</v>
      </c>
      <c r="C125">
        <v>-1.19</v>
      </c>
      <c r="F125" s="1">
        <v>201012</v>
      </c>
      <c r="G125">
        <v>43.94</v>
      </c>
      <c r="H125">
        <v>0.02</v>
      </c>
      <c r="J125">
        <v>2010</v>
      </c>
      <c r="K125">
        <f t="shared" si="2"/>
        <v>43.379999999999995</v>
      </c>
      <c r="L125">
        <v>2010</v>
      </c>
      <c r="M125">
        <v>47.006431165243562</v>
      </c>
      <c r="N125">
        <f t="shared" si="3"/>
        <v>43.964450000000006</v>
      </c>
    </row>
    <row r="126" spans="1:14" x14ac:dyDescent="0.25">
      <c r="A126" s="1">
        <v>201112</v>
      </c>
      <c r="B126">
        <v>59.24</v>
      </c>
      <c r="C126">
        <v>15.23</v>
      </c>
      <c r="F126" s="1">
        <v>201112</v>
      </c>
      <c r="G126">
        <v>64.17</v>
      </c>
      <c r="H126">
        <v>20.25</v>
      </c>
      <c r="J126">
        <v>2011</v>
      </c>
      <c r="K126">
        <f t="shared" si="2"/>
        <v>61.704999999999998</v>
      </c>
      <c r="L126">
        <v>2011</v>
      </c>
      <c r="M126">
        <v>47.025567444276746</v>
      </c>
      <c r="N126">
        <f t="shared" si="3"/>
        <v>43.964450000000006</v>
      </c>
    </row>
    <row r="127" spans="1:14" x14ac:dyDescent="0.25">
      <c r="A127" s="1">
        <v>201212</v>
      </c>
      <c r="B127">
        <v>42.35</v>
      </c>
      <c r="C127">
        <v>-1.66</v>
      </c>
      <c r="F127" s="1">
        <v>201212</v>
      </c>
      <c r="G127">
        <v>42.68</v>
      </c>
      <c r="H127">
        <v>-1.24</v>
      </c>
      <c r="J127">
        <v>2012</v>
      </c>
      <c r="K127">
        <f t="shared" si="2"/>
        <v>42.515000000000001</v>
      </c>
      <c r="L127">
        <v>2012</v>
      </c>
      <c r="M127">
        <v>47.040996220202423</v>
      </c>
      <c r="N127">
        <f t="shared" si="3"/>
        <v>43.964450000000006</v>
      </c>
    </row>
    <row r="128" spans="1:14" x14ac:dyDescent="0.25">
      <c r="A128" s="1">
        <v>201312</v>
      </c>
      <c r="B128">
        <v>48.06</v>
      </c>
      <c r="C128">
        <v>4.05</v>
      </c>
      <c r="F128" s="1">
        <v>201312</v>
      </c>
      <c r="G128">
        <v>47.96</v>
      </c>
      <c r="H128">
        <v>4.04</v>
      </c>
      <c r="J128">
        <v>2013</v>
      </c>
      <c r="K128">
        <f t="shared" si="2"/>
        <v>48.010000000000005</v>
      </c>
      <c r="L128">
        <v>2013</v>
      </c>
      <c r="M128">
        <v>47.049596862341488</v>
      </c>
      <c r="N128">
        <f t="shared" si="3"/>
        <v>43.964450000000006</v>
      </c>
    </row>
    <row r="129" spans="1:14" x14ac:dyDescent="0.25">
      <c r="A129" s="1">
        <v>201412</v>
      </c>
      <c r="B129">
        <v>50.13</v>
      </c>
      <c r="C129">
        <v>6.12</v>
      </c>
      <c r="F129" s="1">
        <v>201412</v>
      </c>
      <c r="G129">
        <v>47.74</v>
      </c>
      <c r="H129">
        <v>3.82</v>
      </c>
      <c r="J129">
        <v>2014</v>
      </c>
      <c r="K129">
        <f t="shared" si="2"/>
        <v>48.935000000000002</v>
      </c>
      <c r="L129">
        <v>2014</v>
      </c>
      <c r="M129">
        <v>47.048792558551682</v>
      </c>
      <c r="N129">
        <f t="shared" si="3"/>
        <v>43.964450000000006</v>
      </c>
    </row>
    <row r="130" spans="1:14" x14ac:dyDescent="0.25">
      <c r="A130" s="1">
        <v>201512</v>
      </c>
      <c r="B130">
        <v>45.82</v>
      </c>
      <c r="C130">
        <v>1.81</v>
      </c>
      <c r="F130" s="1">
        <v>201512</v>
      </c>
      <c r="G130">
        <v>43.75</v>
      </c>
      <c r="H130">
        <v>-0.17</v>
      </c>
      <c r="J130">
        <v>2015</v>
      </c>
      <c r="K130">
        <f t="shared" si="2"/>
        <v>44.784999999999997</v>
      </c>
      <c r="L130">
        <v>2015</v>
      </c>
      <c r="M130">
        <v>47.036310288314922</v>
      </c>
      <c r="N130">
        <f t="shared" si="3"/>
        <v>43.964450000000006</v>
      </c>
    </row>
    <row r="131" spans="1:14" x14ac:dyDescent="0.25">
      <c r="A131" s="1">
        <v>201612</v>
      </c>
      <c r="B131">
        <v>40.69</v>
      </c>
      <c r="C131">
        <v>-3.32</v>
      </c>
      <c r="F131" s="1">
        <v>201612</v>
      </c>
      <c r="G131">
        <v>38.409999999999997</v>
      </c>
      <c r="H131">
        <v>-5.51</v>
      </c>
      <c r="J131">
        <v>2016</v>
      </c>
      <c r="K131">
        <f t="shared" si="2"/>
        <v>39.549999999999997</v>
      </c>
      <c r="L131">
        <v>2016</v>
      </c>
      <c r="M131">
        <v>47.009989964325541</v>
      </c>
      <c r="N131">
        <f t="shared" si="3"/>
        <v>43.964450000000006</v>
      </c>
    </row>
    <row r="132" spans="1:14" x14ac:dyDescent="0.25">
      <c r="A132" s="1">
        <v>201712</v>
      </c>
      <c r="B132">
        <v>45.5</v>
      </c>
      <c r="C132">
        <v>1.49</v>
      </c>
      <c r="F132" s="1">
        <v>201712</v>
      </c>
      <c r="G132">
        <v>43.38</v>
      </c>
      <c r="H132">
        <v>-0.54</v>
      </c>
      <c r="J132">
        <v>2017</v>
      </c>
      <c r="K132">
        <f t="shared" si="2"/>
        <v>44.44</v>
      </c>
      <c r="L132">
        <v>2017</v>
      </c>
      <c r="M132">
        <v>46.968558922253415</v>
      </c>
      <c r="N132">
        <f t="shared" si="3"/>
        <v>43.964450000000006</v>
      </c>
    </row>
    <row r="141" spans="1:14" ht="12.75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0"/>
  <sheetViews>
    <sheetView workbookViewId="0">
      <selection activeCell="E3" sqref="E3"/>
    </sheetView>
  </sheetViews>
  <sheetFormatPr defaultRowHeight="15" x14ac:dyDescent="0.25"/>
  <cols>
    <col min="2" max="2" width="14" bestFit="1" customWidth="1"/>
  </cols>
  <sheetData>
    <row r="1" spans="1:5" x14ac:dyDescent="0.25">
      <c r="A1" s="1" t="s">
        <v>17</v>
      </c>
    </row>
    <row r="2" spans="1:5" x14ac:dyDescent="0.25">
      <c r="A2" s="1" t="s">
        <v>6</v>
      </c>
      <c r="B2" t="s">
        <v>18</v>
      </c>
      <c r="C2" s="1" t="s">
        <v>6</v>
      </c>
      <c r="D2" t="s">
        <v>16</v>
      </c>
      <c r="E2" t="str">
        <f>"1910-2017 Average Percentage = 10.6%"</f>
        <v>1910-2017 Average Percentage = 10.6%</v>
      </c>
    </row>
    <row r="3" spans="1:5" x14ac:dyDescent="0.25">
      <c r="A3" s="1">
        <v>1910</v>
      </c>
      <c r="B3">
        <v>11.9</v>
      </c>
      <c r="C3" s="1">
        <v>1910</v>
      </c>
      <c r="D3">
        <f t="array" ref="D3:D110">+LOESS(A3:A110,B3:B110,C3:C110,30)</f>
        <v>16.99471355691724</v>
      </c>
      <c r="E3">
        <f>+AVERAGE($B$3:$B$110)</f>
        <v>10.550925925925926</v>
      </c>
    </row>
    <row r="4" spans="1:5" x14ac:dyDescent="0.25">
      <c r="A4" s="1">
        <v>1911</v>
      </c>
      <c r="B4">
        <v>14.2</v>
      </c>
      <c r="C4" s="1">
        <v>1911</v>
      </c>
      <c r="D4">
        <v>16.315809906512175</v>
      </c>
      <c r="E4">
        <f t="shared" ref="E4:E67" si="0">+AVERAGE($B$3:$B$110)</f>
        <v>10.550925925925926</v>
      </c>
    </row>
    <row r="5" spans="1:5" x14ac:dyDescent="0.25">
      <c r="A5" s="1">
        <v>1912</v>
      </c>
      <c r="B5">
        <v>14.4</v>
      </c>
      <c r="C5" s="1">
        <v>1912</v>
      </c>
      <c r="D5">
        <v>15.641738097366495</v>
      </c>
      <c r="E5">
        <f t="shared" si="0"/>
        <v>10.550925925925926</v>
      </c>
    </row>
    <row r="6" spans="1:5" x14ac:dyDescent="0.25">
      <c r="A6" s="1">
        <v>1913</v>
      </c>
      <c r="B6">
        <v>26.3</v>
      </c>
      <c r="C6" s="1">
        <v>1913</v>
      </c>
      <c r="D6">
        <v>14.975528830646601</v>
      </c>
      <c r="E6">
        <f t="shared" si="0"/>
        <v>10.550925925925926</v>
      </c>
    </row>
    <row r="7" spans="1:5" x14ac:dyDescent="0.25">
      <c r="A7" s="1">
        <v>1914</v>
      </c>
      <c r="B7">
        <v>16.7</v>
      </c>
      <c r="C7" s="1">
        <v>1914</v>
      </c>
      <c r="D7">
        <v>14.320299381934211</v>
      </c>
      <c r="E7">
        <f t="shared" si="0"/>
        <v>10.550925925925926</v>
      </c>
    </row>
    <row r="8" spans="1:5" x14ac:dyDescent="0.25">
      <c r="A8" s="1">
        <v>1915</v>
      </c>
      <c r="B8">
        <v>21</v>
      </c>
      <c r="C8" s="1">
        <v>1915</v>
      </c>
      <c r="D8">
        <v>13.677473858667778</v>
      </c>
      <c r="E8">
        <f t="shared" si="0"/>
        <v>10.550925925925926</v>
      </c>
    </row>
    <row r="9" spans="1:5" x14ac:dyDescent="0.25">
      <c r="A9" s="1">
        <v>1916</v>
      </c>
      <c r="B9">
        <v>16.8</v>
      </c>
      <c r="C9" s="1">
        <v>1916</v>
      </c>
      <c r="D9">
        <v>13.047229970288633</v>
      </c>
      <c r="E9">
        <f t="shared" si="0"/>
        <v>10.550925925925926</v>
      </c>
    </row>
    <row r="10" spans="1:5" x14ac:dyDescent="0.25">
      <c r="A10" s="1">
        <v>1917</v>
      </c>
      <c r="B10">
        <v>0</v>
      </c>
      <c r="C10" s="1">
        <v>1917</v>
      </c>
      <c r="D10">
        <v>12.427940791074112</v>
      </c>
      <c r="E10">
        <f t="shared" si="0"/>
        <v>10.550925925925926</v>
      </c>
    </row>
    <row r="11" spans="1:5" x14ac:dyDescent="0.25">
      <c r="A11" s="1">
        <v>1918</v>
      </c>
      <c r="B11">
        <v>16.600000000000001</v>
      </c>
      <c r="C11" s="1">
        <v>1918</v>
      </c>
      <c r="D11">
        <v>11.81656598125271</v>
      </c>
      <c r="E11">
        <f t="shared" si="0"/>
        <v>10.550925925925926</v>
      </c>
    </row>
    <row r="12" spans="1:5" x14ac:dyDescent="0.25">
      <c r="A12" s="1">
        <v>1919</v>
      </c>
      <c r="B12">
        <v>0</v>
      </c>
      <c r="C12" s="1">
        <v>1919</v>
      </c>
      <c r="D12">
        <v>11.21021404844722</v>
      </c>
      <c r="E12">
        <f t="shared" si="0"/>
        <v>10.550925925925926</v>
      </c>
    </row>
    <row r="13" spans="1:5" x14ac:dyDescent="0.25">
      <c r="A13" s="1">
        <v>1920</v>
      </c>
      <c r="B13">
        <v>16.3</v>
      </c>
      <c r="C13" s="1">
        <v>1920</v>
      </c>
      <c r="D13">
        <v>10.604501390554006</v>
      </c>
      <c r="E13">
        <f t="shared" si="0"/>
        <v>10.550925925925926</v>
      </c>
    </row>
    <row r="14" spans="1:5" x14ac:dyDescent="0.25">
      <c r="A14" s="1">
        <v>1921</v>
      </c>
      <c r="B14">
        <v>5.3</v>
      </c>
      <c r="C14" s="1">
        <v>1921</v>
      </c>
      <c r="D14">
        <v>9.9941051757465313</v>
      </c>
      <c r="E14">
        <f t="shared" si="0"/>
        <v>10.550925925925926</v>
      </c>
    </row>
    <row r="15" spans="1:5" x14ac:dyDescent="0.25">
      <c r="A15" s="1">
        <v>1922</v>
      </c>
      <c r="B15">
        <v>5.8</v>
      </c>
      <c r="C15" s="1">
        <v>1922</v>
      </c>
      <c r="D15">
        <v>9.3696759633239424</v>
      </c>
      <c r="E15">
        <f t="shared" si="0"/>
        <v>10.550925925925926</v>
      </c>
    </row>
    <row r="16" spans="1:5" x14ac:dyDescent="0.25">
      <c r="A16" s="1">
        <v>1923</v>
      </c>
      <c r="B16">
        <v>0</v>
      </c>
      <c r="C16" s="1">
        <v>1923</v>
      </c>
      <c r="D16">
        <v>8.7167387487558727</v>
      </c>
      <c r="E16">
        <f t="shared" si="0"/>
        <v>10.550925925925926</v>
      </c>
    </row>
    <row r="17" spans="1:5" x14ac:dyDescent="0.25">
      <c r="A17" s="1">
        <v>1924</v>
      </c>
      <c r="B17">
        <v>29.3</v>
      </c>
      <c r="C17" s="1">
        <v>1924</v>
      </c>
      <c r="D17">
        <v>8.0236964379736353</v>
      </c>
      <c r="E17">
        <f t="shared" si="0"/>
        <v>10.550925925925926</v>
      </c>
    </row>
    <row r="18" spans="1:5" x14ac:dyDescent="0.25">
      <c r="A18" s="1">
        <v>1925</v>
      </c>
      <c r="B18">
        <v>0</v>
      </c>
      <c r="C18" s="1">
        <v>1925</v>
      </c>
      <c r="D18">
        <v>7.3463647865993504</v>
      </c>
      <c r="E18">
        <f t="shared" si="0"/>
        <v>10.550925925925926</v>
      </c>
    </row>
    <row r="19" spans="1:5" x14ac:dyDescent="0.25">
      <c r="A19" s="1">
        <v>1926</v>
      </c>
      <c r="B19">
        <v>0</v>
      </c>
      <c r="C19" s="1">
        <v>1926</v>
      </c>
      <c r="D19">
        <v>7.065221105541597</v>
      </c>
      <c r="E19">
        <f t="shared" si="0"/>
        <v>10.550925925925926</v>
      </c>
    </row>
    <row r="20" spans="1:5" x14ac:dyDescent="0.25">
      <c r="A20" s="1">
        <v>1927</v>
      </c>
      <c r="B20">
        <v>5.5</v>
      </c>
      <c r="C20" s="1">
        <v>1927</v>
      </c>
      <c r="D20">
        <v>6.9227264322620279</v>
      </c>
      <c r="E20">
        <f t="shared" si="0"/>
        <v>10.550925925925926</v>
      </c>
    </row>
    <row r="21" spans="1:5" x14ac:dyDescent="0.25">
      <c r="A21" s="1">
        <v>1928</v>
      </c>
      <c r="B21">
        <v>5.3</v>
      </c>
      <c r="C21" s="1">
        <v>1928</v>
      </c>
      <c r="D21">
        <v>6.8709050247870289</v>
      </c>
      <c r="E21">
        <f t="shared" si="0"/>
        <v>10.550925925925926</v>
      </c>
    </row>
    <row r="22" spans="1:5" x14ac:dyDescent="0.25">
      <c r="A22" s="1">
        <v>1929</v>
      </c>
      <c r="B22">
        <v>10</v>
      </c>
      <c r="C22" s="1">
        <v>1929</v>
      </c>
      <c r="D22">
        <v>6.876294612738759</v>
      </c>
      <c r="E22">
        <f t="shared" si="0"/>
        <v>10.550925925925926</v>
      </c>
    </row>
    <row r="23" spans="1:5" x14ac:dyDescent="0.25">
      <c r="A23" s="1">
        <v>1930</v>
      </c>
      <c r="B23">
        <v>0</v>
      </c>
      <c r="C23" s="1">
        <v>1930</v>
      </c>
      <c r="D23">
        <v>6.9140091478209484</v>
      </c>
      <c r="E23">
        <f t="shared" si="0"/>
        <v>10.550925925925926</v>
      </c>
    </row>
    <row r="24" spans="1:5" x14ac:dyDescent="0.25">
      <c r="A24" s="1">
        <v>1931</v>
      </c>
      <c r="B24">
        <v>4.9000000000000004</v>
      </c>
      <c r="C24" s="1">
        <v>1931</v>
      </c>
      <c r="D24">
        <v>6.9538112551951361</v>
      </c>
      <c r="E24">
        <f t="shared" si="0"/>
        <v>10.550925925925926</v>
      </c>
    </row>
    <row r="25" spans="1:5" x14ac:dyDescent="0.25">
      <c r="A25" s="1">
        <v>1932</v>
      </c>
      <c r="B25">
        <v>10.5</v>
      </c>
      <c r="C25" s="1">
        <v>1932</v>
      </c>
      <c r="D25">
        <v>6.9840974534082063</v>
      </c>
      <c r="E25">
        <f t="shared" si="0"/>
        <v>10.550925925925926</v>
      </c>
    </row>
    <row r="26" spans="1:5" x14ac:dyDescent="0.25">
      <c r="A26" s="1">
        <v>1933</v>
      </c>
      <c r="B26">
        <v>5.0999999999999996</v>
      </c>
      <c r="C26" s="1">
        <v>1933</v>
      </c>
      <c r="D26">
        <v>7.0065958175319603</v>
      </c>
      <c r="E26">
        <f t="shared" si="0"/>
        <v>10.550925925925926</v>
      </c>
    </row>
    <row r="27" spans="1:5" x14ac:dyDescent="0.25">
      <c r="A27" s="1">
        <v>1934</v>
      </c>
      <c r="B27">
        <v>0</v>
      </c>
      <c r="C27" s="1">
        <v>1934</v>
      </c>
      <c r="D27">
        <v>7.048850410520755</v>
      </c>
      <c r="E27">
        <f t="shared" si="0"/>
        <v>10.550925925925926</v>
      </c>
    </row>
    <row r="28" spans="1:5" x14ac:dyDescent="0.25">
      <c r="A28" s="1">
        <v>1935</v>
      </c>
      <c r="B28">
        <v>9.8000000000000007</v>
      </c>
      <c r="C28" s="1">
        <v>1935</v>
      </c>
      <c r="D28">
        <v>7.1214127250252881</v>
      </c>
      <c r="E28">
        <f t="shared" si="0"/>
        <v>10.550925925925926</v>
      </c>
    </row>
    <row r="29" spans="1:5" x14ac:dyDescent="0.25">
      <c r="A29" s="1">
        <v>1936</v>
      </c>
      <c r="B29">
        <v>5.4</v>
      </c>
      <c r="C29" s="1">
        <v>1936</v>
      </c>
      <c r="D29">
        <v>7.2293640881284551</v>
      </c>
      <c r="E29">
        <f t="shared" si="0"/>
        <v>10.550925925925926</v>
      </c>
    </row>
    <row r="30" spans="1:5" x14ac:dyDescent="0.25">
      <c r="A30" s="1">
        <v>1937</v>
      </c>
      <c r="B30">
        <v>24.7</v>
      </c>
      <c r="C30" s="1">
        <v>1937</v>
      </c>
      <c r="D30">
        <v>7.36287265876223</v>
      </c>
      <c r="E30">
        <f t="shared" si="0"/>
        <v>10.550925925925926</v>
      </c>
    </row>
    <row r="31" spans="1:5" x14ac:dyDescent="0.25">
      <c r="A31" s="1">
        <v>1938</v>
      </c>
      <c r="B31">
        <v>9.9</v>
      </c>
      <c r="C31" s="1">
        <v>1938</v>
      </c>
      <c r="D31">
        <v>7.4967098294682595</v>
      </c>
      <c r="E31">
        <f t="shared" si="0"/>
        <v>10.550925925925926</v>
      </c>
    </row>
    <row r="32" spans="1:5" x14ac:dyDescent="0.25">
      <c r="A32" s="1">
        <v>1939</v>
      </c>
      <c r="B32">
        <v>0</v>
      </c>
      <c r="C32" s="1">
        <v>1939</v>
      </c>
      <c r="D32">
        <v>7.5780472634822615</v>
      </c>
      <c r="E32">
        <f t="shared" si="0"/>
        <v>10.550925925925926</v>
      </c>
    </row>
    <row r="33" spans="1:5" x14ac:dyDescent="0.25">
      <c r="A33" s="1">
        <v>1940</v>
      </c>
      <c r="B33">
        <v>4.8</v>
      </c>
      <c r="C33" s="1">
        <v>1940</v>
      </c>
      <c r="D33">
        <v>7.6200993537904038</v>
      </c>
      <c r="E33">
        <f t="shared" si="0"/>
        <v>10.550925925925926</v>
      </c>
    </row>
    <row r="34" spans="1:5" x14ac:dyDescent="0.25">
      <c r="A34" s="1">
        <v>1941</v>
      </c>
      <c r="B34">
        <v>10</v>
      </c>
      <c r="C34" s="1">
        <v>1941</v>
      </c>
      <c r="D34">
        <v>7.6486208611760969</v>
      </c>
      <c r="E34">
        <f t="shared" si="0"/>
        <v>10.550925925925926</v>
      </c>
    </row>
    <row r="35" spans="1:5" x14ac:dyDescent="0.25">
      <c r="A35" s="1">
        <v>1942</v>
      </c>
      <c r="B35">
        <v>15.7</v>
      </c>
      <c r="C35" s="1">
        <v>1942</v>
      </c>
      <c r="D35">
        <v>7.6708036615636344</v>
      </c>
      <c r="E35">
        <f t="shared" si="0"/>
        <v>10.550925925925926</v>
      </c>
    </row>
    <row r="36" spans="1:5" x14ac:dyDescent="0.25">
      <c r="A36" s="1">
        <v>1943</v>
      </c>
      <c r="B36">
        <v>0</v>
      </c>
      <c r="C36" s="1">
        <v>1943</v>
      </c>
      <c r="D36">
        <v>7.6912539639289008</v>
      </c>
      <c r="E36">
        <f t="shared" si="0"/>
        <v>10.550925925925926</v>
      </c>
    </row>
    <row r="37" spans="1:5" x14ac:dyDescent="0.25">
      <c r="A37" s="1">
        <v>1944</v>
      </c>
      <c r="B37">
        <v>0</v>
      </c>
      <c r="C37" s="1">
        <v>1944</v>
      </c>
      <c r="D37">
        <v>7.6983056943923751</v>
      </c>
      <c r="E37">
        <f t="shared" si="0"/>
        <v>10.550925925925926</v>
      </c>
    </row>
    <row r="38" spans="1:5" x14ac:dyDescent="0.25">
      <c r="A38" s="1">
        <v>1945</v>
      </c>
      <c r="B38">
        <v>10.4</v>
      </c>
      <c r="C38" s="1">
        <v>1945</v>
      </c>
      <c r="D38">
        <v>7.6886774940307028</v>
      </c>
      <c r="E38">
        <f t="shared" si="0"/>
        <v>10.550925925925926</v>
      </c>
    </row>
    <row r="39" spans="1:5" x14ac:dyDescent="0.25">
      <c r="A39" s="1">
        <v>1946</v>
      </c>
      <c r="B39">
        <v>15.9</v>
      </c>
      <c r="C39" s="1">
        <v>1946</v>
      </c>
      <c r="D39">
        <v>7.6565636735859277</v>
      </c>
      <c r="E39">
        <f t="shared" si="0"/>
        <v>10.550925925925926</v>
      </c>
    </row>
    <row r="40" spans="1:5" x14ac:dyDescent="0.25">
      <c r="A40" s="1">
        <v>1947</v>
      </c>
      <c r="B40">
        <v>9.8000000000000007</v>
      </c>
      <c r="C40" s="1">
        <v>1947</v>
      </c>
      <c r="D40">
        <v>7.5962318924352363</v>
      </c>
      <c r="E40">
        <f t="shared" si="0"/>
        <v>10.550925925925926</v>
      </c>
    </row>
    <row r="41" spans="1:5" x14ac:dyDescent="0.25">
      <c r="A41" s="1">
        <v>1948</v>
      </c>
      <c r="B41">
        <v>4.9000000000000004</v>
      </c>
      <c r="C41" s="1">
        <v>1948</v>
      </c>
      <c r="D41">
        <v>7.5352210266071804</v>
      </c>
      <c r="E41">
        <f t="shared" si="0"/>
        <v>10.550925925925926</v>
      </c>
    </row>
    <row r="42" spans="1:5" x14ac:dyDescent="0.25">
      <c r="A42" s="1">
        <v>1949</v>
      </c>
      <c r="B42">
        <v>0</v>
      </c>
      <c r="C42" s="1">
        <v>1949</v>
      </c>
      <c r="D42">
        <v>7.489649076085878</v>
      </c>
      <c r="E42">
        <f t="shared" si="0"/>
        <v>10.550925925925926</v>
      </c>
    </row>
    <row r="43" spans="1:5" x14ac:dyDescent="0.25">
      <c r="A43" s="1">
        <v>1950</v>
      </c>
      <c r="B43">
        <v>5</v>
      </c>
      <c r="C43" s="1">
        <v>1950</v>
      </c>
      <c r="D43">
        <v>7.4537408687204829</v>
      </c>
      <c r="E43">
        <f t="shared" si="0"/>
        <v>10.550925925925926</v>
      </c>
    </row>
    <row r="44" spans="1:5" x14ac:dyDescent="0.25">
      <c r="A44" s="1">
        <v>1951</v>
      </c>
      <c r="B44">
        <v>0</v>
      </c>
      <c r="C44" s="1">
        <v>1951</v>
      </c>
      <c r="D44">
        <v>7.406278896327934</v>
      </c>
      <c r="E44">
        <f t="shared" si="0"/>
        <v>10.550925925925926</v>
      </c>
    </row>
    <row r="45" spans="1:5" x14ac:dyDescent="0.25">
      <c r="A45" s="1">
        <v>1952</v>
      </c>
      <c r="B45">
        <v>20.2</v>
      </c>
      <c r="C45" s="1">
        <v>1952</v>
      </c>
      <c r="D45">
        <v>7.3149590581872772</v>
      </c>
      <c r="E45">
        <f t="shared" si="0"/>
        <v>10.550925925925926</v>
      </c>
    </row>
    <row r="46" spans="1:5" x14ac:dyDescent="0.25">
      <c r="A46" s="1">
        <v>1953</v>
      </c>
      <c r="B46">
        <v>9.9</v>
      </c>
      <c r="C46" s="1">
        <v>1953</v>
      </c>
      <c r="D46">
        <v>7.1734595128597061</v>
      </c>
      <c r="E46">
        <f t="shared" si="0"/>
        <v>10.550925925925926</v>
      </c>
    </row>
    <row r="47" spans="1:5" x14ac:dyDescent="0.25">
      <c r="A47" s="1">
        <v>1954</v>
      </c>
      <c r="B47">
        <v>5.0999999999999996</v>
      </c>
      <c r="C47" s="1">
        <v>1954</v>
      </c>
      <c r="D47">
        <v>6.9907505363831168</v>
      </c>
      <c r="E47">
        <f t="shared" si="0"/>
        <v>10.550925925925926</v>
      </c>
    </row>
    <row r="48" spans="1:5" x14ac:dyDescent="0.25">
      <c r="A48" s="1">
        <v>1955</v>
      </c>
      <c r="B48">
        <v>15.3</v>
      </c>
      <c r="C48" s="1">
        <v>1955</v>
      </c>
      <c r="D48">
        <v>6.7698758813276942</v>
      </c>
      <c r="E48">
        <f t="shared" si="0"/>
        <v>10.550925925925926</v>
      </c>
    </row>
    <row r="49" spans="1:5" x14ac:dyDescent="0.25">
      <c r="A49" s="1">
        <v>1956</v>
      </c>
      <c r="B49">
        <v>5.0999999999999996</v>
      </c>
      <c r="C49" s="1">
        <v>1956</v>
      </c>
      <c r="D49">
        <v>6.5127684538702653</v>
      </c>
      <c r="E49">
        <f t="shared" si="0"/>
        <v>10.550925925925926</v>
      </c>
    </row>
    <row r="50" spans="1:5" x14ac:dyDescent="0.25">
      <c r="A50" s="1">
        <v>1957</v>
      </c>
      <c r="B50">
        <v>5.0999999999999996</v>
      </c>
      <c r="C50" s="1">
        <v>1957</v>
      </c>
      <c r="D50">
        <v>6.2228226938413957</v>
      </c>
      <c r="E50">
        <f t="shared" si="0"/>
        <v>10.550925925925926</v>
      </c>
    </row>
    <row r="51" spans="1:5" x14ac:dyDescent="0.25">
      <c r="A51" s="1">
        <v>1958</v>
      </c>
      <c r="B51">
        <v>5.0999999999999996</v>
      </c>
      <c r="C51" s="1">
        <v>1958</v>
      </c>
      <c r="D51">
        <v>5.9237556085099428</v>
      </c>
      <c r="E51">
        <f t="shared" si="0"/>
        <v>10.550925925925926</v>
      </c>
    </row>
    <row r="52" spans="1:5" x14ac:dyDescent="0.25">
      <c r="A52" s="1">
        <v>1959</v>
      </c>
      <c r="B52">
        <v>0</v>
      </c>
      <c r="C52" s="1">
        <v>1959</v>
      </c>
      <c r="D52">
        <v>5.6451108629338718</v>
      </c>
      <c r="E52">
        <f t="shared" si="0"/>
        <v>10.550925925925926</v>
      </c>
    </row>
    <row r="53" spans="1:5" x14ac:dyDescent="0.25">
      <c r="A53" s="1">
        <v>1960</v>
      </c>
      <c r="B53">
        <v>19.8</v>
      </c>
      <c r="C53" s="1">
        <v>1960</v>
      </c>
      <c r="D53">
        <v>5.3901927402201615</v>
      </c>
      <c r="E53">
        <f t="shared" si="0"/>
        <v>10.550925925925926</v>
      </c>
    </row>
    <row r="54" spans="1:5" x14ac:dyDescent="0.25">
      <c r="A54" s="1">
        <v>1961</v>
      </c>
      <c r="B54">
        <v>0</v>
      </c>
      <c r="C54" s="1">
        <v>1961</v>
      </c>
      <c r="D54">
        <v>5.1510878004762404</v>
      </c>
      <c r="E54">
        <f t="shared" si="0"/>
        <v>10.550925925925926</v>
      </c>
    </row>
    <row r="55" spans="1:5" x14ac:dyDescent="0.25">
      <c r="A55" s="1">
        <v>1962</v>
      </c>
      <c r="B55">
        <v>5.2</v>
      </c>
      <c r="C55" s="1">
        <v>1962</v>
      </c>
      <c r="D55">
        <v>4.9189033331158694</v>
      </c>
      <c r="E55">
        <f t="shared" si="0"/>
        <v>10.550925925925926</v>
      </c>
    </row>
    <row r="56" spans="1:5" x14ac:dyDescent="0.25">
      <c r="A56" s="1">
        <v>1963</v>
      </c>
      <c r="B56">
        <v>0</v>
      </c>
      <c r="C56" s="1">
        <v>1963</v>
      </c>
      <c r="D56">
        <v>4.7179837450786479</v>
      </c>
      <c r="E56">
        <f t="shared" si="0"/>
        <v>10.550925925925926</v>
      </c>
    </row>
    <row r="57" spans="1:5" x14ac:dyDescent="0.25">
      <c r="A57" s="1">
        <v>1964</v>
      </c>
      <c r="B57">
        <v>5.0999999999999996</v>
      </c>
      <c r="C57" s="1">
        <v>1964</v>
      </c>
      <c r="D57">
        <v>4.5808750366450779</v>
      </c>
      <c r="E57">
        <f t="shared" si="0"/>
        <v>10.550925925925926</v>
      </c>
    </row>
    <row r="58" spans="1:5" x14ac:dyDescent="0.25">
      <c r="A58" s="1">
        <v>1965</v>
      </c>
      <c r="B58">
        <v>0</v>
      </c>
      <c r="C58" s="1">
        <v>1965</v>
      </c>
      <c r="D58">
        <v>4.542276603752013</v>
      </c>
      <c r="E58">
        <f t="shared" si="0"/>
        <v>10.550925925925926</v>
      </c>
    </row>
    <row r="59" spans="1:5" x14ac:dyDescent="0.25">
      <c r="A59" s="1">
        <v>1966</v>
      </c>
      <c r="B59">
        <v>0</v>
      </c>
      <c r="C59" s="1">
        <v>1966</v>
      </c>
      <c r="D59">
        <v>4.6062600552559516</v>
      </c>
      <c r="E59">
        <f t="shared" si="0"/>
        <v>10.550925925925926</v>
      </c>
    </row>
    <row r="60" spans="1:5" x14ac:dyDescent="0.25">
      <c r="A60" s="1">
        <v>1967</v>
      </c>
      <c r="B60">
        <v>0</v>
      </c>
      <c r="C60" s="1">
        <v>1967</v>
      </c>
      <c r="D60">
        <v>4.7582405871604188</v>
      </c>
      <c r="E60">
        <f t="shared" si="0"/>
        <v>10.550925925925926</v>
      </c>
    </row>
    <row r="61" spans="1:5" x14ac:dyDescent="0.25">
      <c r="A61" s="1">
        <v>1968</v>
      </c>
      <c r="B61">
        <v>5.2</v>
      </c>
      <c r="C61" s="1">
        <v>1968</v>
      </c>
      <c r="D61">
        <v>4.9715136959725736</v>
      </c>
      <c r="E61">
        <f t="shared" si="0"/>
        <v>10.550925925925926</v>
      </c>
    </row>
    <row r="62" spans="1:5" x14ac:dyDescent="0.25">
      <c r="A62" s="1">
        <v>1969</v>
      </c>
      <c r="B62">
        <v>4.8</v>
      </c>
      <c r="C62" s="1">
        <v>1969</v>
      </c>
      <c r="D62">
        <v>5.2237156038669426</v>
      </c>
      <c r="E62">
        <f t="shared" si="0"/>
        <v>10.550925925925926</v>
      </c>
    </row>
    <row r="63" spans="1:5" x14ac:dyDescent="0.25">
      <c r="A63" s="1">
        <v>1970</v>
      </c>
      <c r="B63">
        <v>0</v>
      </c>
      <c r="C63" s="1">
        <v>1970</v>
      </c>
      <c r="D63">
        <v>5.5013616570406922</v>
      </c>
      <c r="E63">
        <f t="shared" si="0"/>
        <v>10.550925925925926</v>
      </c>
    </row>
    <row r="64" spans="1:5" x14ac:dyDescent="0.25">
      <c r="A64" s="1">
        <v>1971</v>
      </c>
      <c r="B64">
        <v>10.3</v>
      </c>
      <c r="C64" s="1">
        <v>1971</v>
      </c>
      <c r="D64">
        <v>5.8197510156418319</v>
      </c>
      <c r="E64">
        <f t="shared" si="0"/>
        <v>10.550925925925926</v>
      </c>
    </row>
    <row r="65" spans="1:5" x14ac:dyDescent="0.25">
      <c r="A65" s="1">
        <v>1972</v>
      </c>
      <c r="B65">
        <v>5.2</v>
      </c>
      <c r="C65" s="1">
        <v>1972</v>
      </c>
      <c r="D65">
        <v>6.179985733058075</v>
      </c>
      <c r="E65">
        <f t="shared" si="0"/>
        <v>10.550925925925926</v>
      </c>
    </row>
    <row r="66" spans="1:5" x14ac:dyDescent="0.25">
      <c r="A66" s="1">
        <v>1973</v>
      </c>
      <c r="B66">
        <v>10.6</v>
      </c>
      <c r="C66" s="1">
        <v>1973</v>
      </c>
      <c r="D66">
        <v>6.5790112637558122</v>
      </c>
      <c r="E66">
        <f t="shared" si="0"/>
        <v>10.550925925925926</v>
      </c>
    </row>
    <row r="67" spans="1:5" x14ac:dyDescent="0.25">
      <c r="A67" s="1">
        <v>1974</v>
      </c>
      <c r="B67">
        <v>0</v>
      </c>
      <c r="C67" s="1">
        <v>1974</v>
      </c>
      <c r="D67">
        <v>6.9991652285852437</v>
      </c>
      <c r="E67">
        <f t="shared" si="0"/>
        <v>10.550925925925926</v>
      </c>
    </row>
    <row r="68" spans="1:5" x14ac:dyDescent="0.25">
      <c r="A68" s="1">
        <v>1975</v>
      </c>
      <c r="B68">
        <v>16.8</v>
      </c>
      <c r="C68" s="1">
        <v>1975</v>
      </c>
      <c r="D68">
        <v>7.4021496933554731</v>
      </c>
      <c r="E68">
        <f t="shared" ref="E68:E110" si="1">+AVERAGE($B$3:$B$110)</f>
        <v>10.550925925925926</v>
      </c>
    </row>
    <row r="69" spans="1:5" x14ac:dyDescent="0.25">
      <c r="A69" s="1">
        <v>1976</v>
      </c>
      <c r="B69">
        <v>4.9000000000000004</v>
      </c>
      <c r="C69" s="1">
        <v>1976</v>
      </c>
      <c r="D69">
        <v>7.7719060761592651</v>
      </c>
      <c r="E69">
        <f t="shared" si="1"/>
        <v>10.550925925925926</v>
      </c>
    </row>
    <row r="70" spans="1:5" x14ac:dyDescent="0.25">
      <c r="A70" s="1">
        <v>1977</v>
      </c>
      <c r="B70">
        <v>20</v>
      </c>
      <c r="C70" s="1">
        <v>1977</v>
      </c>
      <c r="D70">
        <v>8.1110108866732329</v>
      </c>
      <c r="E70">
        <f t="shared" si="1"/>
        <v>10.550925925925926</v>
      </c>
    </row>
    <row r="71" spans="1:5" x14ac:dyDescent="0.25">
      <c r="A71" s="1">
        <v>1978</v>
      </c>
      <c r="B71">
        <v>0</v>
      </c>
      <c r="C71" s="1">
        <v>1978</v>
      </c>
      <c r="D71">
        <v>8.435576794429787</v>
      </c>
      <c r="E71">
        <f t="shared" si="1"/>
        <v>10.550925925925926</v>
      </c>
    </row>
    <row r="72" spans="1:5" x14ac:dyDescent="0.25">
      <c r="A72" s="1">
        <v>1979</v>
      </c>
      <c r="B72">
        <v>20.3</v>
      </c>
      <c r="C72" s="1">
        <v>1979</v>
      </c>
      <c r="D72">
        <v>8.7423140488481845</v>
      </c>
      <c r="E72">
        <f t="shared" si="1"/>
        <v>10.550925925925926</v>
      </c>
    </row>
    <row r="73" spans="1:5" x14ac:dyDescent="0.25">
      <c r="A73" s="1">
        <v>1980</v>
      </c>
      <c r="B73">
        <v>0</v>
      </c>
      <c r="C73" s="1">
        <v>1980</v>
      </c>
      <c r="D73">
        <v>9.0218934812789211</v>
      </c>
      <c r="E73">
        <f t="shared" si="1"/>
        <v>10.550925925925926</v>
      </c>
    </row>
    <row r="74" spans="1:5" x14ac:dyDescent="0.25">
      <c r="A74" s="1">
        <v>1981</v>
      </c>
      <c r="B74">
        <v>5.3</v>
      </c>
      <c r="C74" s="1">
        <v>1981</v>
      </c>
      <c r="D74">
        <v>9.2520759985536731</v>
      </c>
      <c r="E74">
        <f t="shared" si="1"/>
        <v>10.550925925925926</v>
      </c>
    </row>
    <row r="75" spans="1:5" x14ac:dyDescent="0.25">
      <c r="A75" s="1">
        <v>1982</v>
      </c>
      <c r="B75">
        <v>10</v>
      </c>
      <c r="C75" s="1">
        <v>1982</v>
      </c>
      <c r="D75">
        <v>9.4334880518128212</v>
      </c>
      <c r="E75">
        <f t="shared" si="1"/>
        <v>10.550925925925926</v>
      </c>
    </row>
    <row r="76" spans="1:5" x14ac:dyDescent="0.25">
      <c r="A76" s="1">
        <v>1983</v>
      </c>
      <c r="B76">
        <v>20.7</v>
      </c>
      <c r="C76" s="1">
        <v>1983</v>
      </c>
      <c r="D76">
        <v>9.5853087312084657</v>
      </c>
      <c r="E76">
        <f t="shared" si="1"/>
        <v>10.550925925925926</v>
      </c>
    </row>
    <row r="77" spans="1:5" x14ac:dyDescent="0.25">
      <c r="A77" s="1">
        <v>1984</v>
      </c>
      <c r="B77">
        <v>0</v>
      </c>
      <c r="C77" s="1">
        <v>1984</v>
      </c>
      <c r="D77">
        <v>9.7392644893094698</v>
      </c>
      <c r="E77">
        <f t="shared" si="1"/>
        <v>10.550925925925926</v>
      </c>
    </row>
    <row r="78" spans="1:5" x14ac:dyDescent="0.25">
      <c r="A78" s="1">
        <v>1985</v>
      </c>
      <c r="B78">
        <v>12</v>
      </c>
      <c r="C78" s="1">
        <v>1985</v>
      </c>
      <c r="D78">
        <v>9.8986964371828368</v>
      </c>
      <c r="E78">
        <f t="shared" si="1"/>
        <v>10.550925925925926</v>
      </c>
    </row>
    <row r="79" spans="1:5" x14ac:dyDescent="0.25">
      <c r="A79" s="1">
        <v>1986</v>
      </c>
      <c r="B79">
        <v>5.6</v>
      </c>
      <c r="C79" s="1">
        <v>1986</v>
      </c>
      <c r="D79">
        <v>10.078338398952301</v>
      </c>
      <c r="E79">
        <f t="shared" si="1"/>
        <v>10.550925925925926</v>
      </c>
    </row>
    <row r="80" spans="1:5" x14ac:dyDescent="0.25">
      <c r="A80" s="1">
        <v>1987</v>
      </c>
      <c r="B80">
        <v>9.6</v>
      </c>
      <c r="C80" s="1">
        <v>1987</v>
      </c>
      <c r="D80">
        <v>10.313105699085497</v>
      </c>
      <c r="E80">
        <f t="shared" si="1"/>
        <v>10.550925925925926</v>
      </c>
    </row>
    <row r="81" spans="1:5" x14ac:dyDescent="0.25">
      <c r="A81" s="1">
        <v>1988</v>
      </c>
      <c r="B81">
        <v>5.0999999999999996</v>
      </c>
      <c r="C81" s="1">
        <v>1988</v>
      </c>
      <c r="D81">
        <v>10.611455975596966</v>
      </c>
      <c r="E81">
        <f t="shared" si="1"/>
        <v>10.550925925925926</v>
      </c>
    </row>
    <row r="82" spans="1:5" x14ac:dyDescent="0.25">
      <c r="A82" s="1">
        <v>1989</v>
      </c>
      <c r="B82">
        <v>15.4</v>
      </c>
      <c r="C82" s="1">
        <v>1989</v>
      </c>
      <c r="D82">
        <v>10.962813005111919</v>
      </c>
      <c r="E82">
        <f t="shared" si="1"/>
        <v>10.550925925925926</v>
      </c>
    </row>
    <row r="83" spans="1:5" x14ac:dyDescent="0.25">
      <c r="A83" s="1">
        <v>1990</v>
      </c>
      <c r="B83">
        <v>19.899999999999999</v>
      </c>
      <c r="C83" s="1">
        <v>1990</v>
      </c>
      <c r="D83">
        <v>11.341566920251024</v>
      </c>
      <c r="E83">
        <f t="shared" si="1"/>
        <v>10.550925925925926</v>
      </c>
    </row>
    <row r="84" spans="1:5" x14ac:dyDescent="0.25">
      <c r="A84" s="1">
        <v>1991</v>
      </c>
      <c r="B84">
        <v>10.199999999999999</v>
      </c>
      <c r="C84" s="1">
        <v>1991</v>
      </c>
      <c r="D84">
        <v>11.766119164318992</v>
      </c>
      <c r="E84">
        <f t="shared" si="1"/>
        <v>10.550925925925926</v>
      </c>
    </row>
    <row r="85" spans="1:5" x14ac:dyDescent="0.25">
      <c r="A85" s="1">
        <v>1992</v>
      </c>
      <c r="B85">
        <v>9.9</v>
      </c>
      <c r="C85" s="1">
        <v>1992</v>
      </c>
      <c r="D85">
        <v>12.247939703814236</v>
      </c>
      <c r="E85">
        <f t="shared" si="1"/>
        <v>10.550925925925926</v>
      </c>
    </row>
    <row r="86" spans="1:5" x14ac:dyDescent="0.25">
      <c r="A86" s="1">
        <v>1993</v>
      </c>
      <c r="B86">
        <v>0</v>
      </c>
      <c r="C86" s="1">
        <v>1993</v>
      </c>
      <c r="D86">
        <v>12.83776890826717</v>
      </c>
      <c r="E86">
        <f t="shared" si="1"/>
        <v>10.550925925925926</v>
      </c>
    </row>
    <row r="87" spans="1:5" x14ac:dyDescent="0.25">
      <c r="A87" s="1">
        <v>1994</v>
      </c>
      <c r="B87">
        <v>15.1</v>
      </c>
      <c r="C87" s="1">
        <v>1994</v>
      </c>
      <c r="D87">
        <v>13.560665550067531</v>
      </c>
      <c r="E87">
        <f t="shared" si="1"/>
        <v>10.550925925925926</v>
      </c>
    </row>
    <row r="88" spans="1:5" x14ac:dyDescent="0.25">
      <c r="A88" s="1">
        <v>1995</v>
      </c>
      <c r="B88">
        <v>14.9</v>
      </c>
      <c r="C88" s="1">
        <v>1995</v>
      </c>
      <c r="D88">
        <v>14.390860527973931</v>
      </c>
      <c r="E88">
        <f t="shared" si="1"/>
        <v>10.550925925925926</v>
      </c>
    </row>
    <row r="89" spans="1:5" x14ac:dyDescent="0.25">
      <c r="A89" s="1">
        <v>1996</v>
      </c>
      <c r="B89">
        <v>25.2</v>
      </c>
      <c r="C89" s="1">
        <v>1996</v>
      </c>
      <c r="D89">
        <v>15.260742621456011</v>
      </c>
      <c r="E89">
        <f t="shared" si="1"/>
        <v>10.550925925925926</v>
      </c>
    </row>
    <row r="90" spans="1:5" x14ac:dyDescent="0.25">
      <c r="A90" s="1">
        <v>1997</v>
      </c>
      <c r="B90">
        <v>0</v>
      </c>
      <c r="C90" s="1">
        <v>1997</v>
      </c>
      <c r="D90">
        <v>16.081381520135835</v>
      </c>
      <c r="E90">
        <f t="shared" si="1"/>
        <v>10.550925925925926</v>
      </c>
    </row>
    <row r="91" spans="1:5" x14ac:dyDescent="0.25">
      <c r="A91" s="1">
        <v>1998</v>
      </c>
      <c r="B91">
        <v>20.3</v>
      </c>
      <c r="C91" s="1">
        <v>1998</v>
      </c>
      <c r="D91">
        <v>16.81165234889561</v>
      </c>
      <c r="E91">
        <f t="shared" si="1"/>
        <v>10.550925925925926</v>
      </c>
    </row>
    <row r="92" spans="1:5" x14ac:dyDescent="0.25">
      <c r="A92" s="1">
        <v>1999</v>
      </c>
      <c r="B92">
        <v>30</v>
      </c>
      <c r="C92" s="1">
        <v>1999</v>
      </c>
      <c r="D92">
        <v>17.504720783760433</v>
      </c>
      <c r="E92">
        <f t="shared" si="1"/>
        <v>10.550925925925926</v>
      </c>
    </row>
    <row r="93" spans="1:5" x14ac:dyDescent="0.25">
      <c r="A93" s="1">
        <v>2000</v>
      </c>
      <c r="B93">
        <v>10.3</v>
      </c>
      <c r="C93" s="1">
        <v>2000</v>
      </c>
      <c r="D93">
        <v>18.170634540053527</v>
      </c>
      <c r="E93">
        <f t="shared" si="1"/>
        <v>10.550925925925926</v>
      </c>
    </row>
    <row r="94" spans="1:5" x14ac:dyDescent="0.25">
      <c r="A94" s="1">
        <v>2001</v>
      </c>
      <c r="B94">
        <v>10.199999999999999</v>
      </c>
      <c r="C94" s="1">
        <v>2001</v>
      </c>
      <c r="D94">
        <v>18.810508671407074</v>
      </c>
      <c r="E94">
        <f t="shared" si="1"/>
        <v>10.550925925925926</v>
      </c>
    </row>
    <row r="95" spans="1:5" x14ac:dyDescent="0.25">
      <c r="A95" s="1">
        <v>2002</v>
      </c>
      <c r="B95">
        <v>5.3</v>
      </c>
      <c r="C95" s="1">
        <v>2002</v>
      </c>
      <c r="D95">
        <v>19.405812549594671</v>
      </c>
      <c r="E95">
        <f t="shared" si="1"/>
        <v>10.550925925925926</v>
      </c>
    </row>
    <row r="96" spans="1:5" x14ac:dyDescent="0.25">
      <c r="A96" s="1">
        <v>2003</v>
      </c>
      <c r="B96">
        <v>38.700000000000003</v>
      </c>
      <c r="C96" s="1">
        <v>2003</v>
      </c>
      <c r="D96">
        <v>19.700003180736019</v>
      </c>
      <c r="E96">
        <f t="shared" si="1"/>
        <v>10.550925925925926</v>
      </c>
    </row>
    <row r="97" spans="1:5" x14ac:dyDescent="0.25">
      <c r="A97" s="1">
        <v>2004</v>
      </c>
      <c r="B97">
        <v>20.2</v>
      </c>
      <c r="C97" s="1">
        <v>2004</v>
      </c>
      <c r="D97">
        <v>19.78788145127621</v>
      </c>
      <c r="E97">
        <f t="shared" si="1"/>
        <v>10.550925925925926</v>
      </c>
    </row>
    <row r="98" spans="1:5" x14ac:dyDescent="0.25">
      <c r="A98" s="1">
        <v>2005</v>
      </c>
      <c r="B98">
        <v>44.7</v>
      </c>
      <c r="C98" s="1">
        <v>2005</v>
      </c>
      <c r="D98">
        <v>19.789104550824486</v>
      </c>
      <c r="E98">
        <f t="shared" si="1"/>
        <v>10.550925925925926</v>
      </c>
    </row>
    <row r="99" spans="1:5" x14ac:dyDescent="0.25">
      <c r="A99" s="1">
        <v>2006</v>
      </c>
      <c r="B99">
        <v>41.8</v>
      </c>
      <c r="C99" s="1">
        <v>2006</v>
      </c>
      <c r="D99">
        <v>19.76605519615018</v>
      </c>
      <c r="E99">
        <f t="shared" si="1"/>
        <v>10.550925925925926</v>
      </c>
    </row>
    <row r="100" spans="1:5" x14ac:dyDescent="0.25">
      <c r="A100" s="1">
        <v>2007</v>
      </c>
      <c r="B100">
        <v>5.4</v>
      </c>
      <c r="C100" s="1">
        <v>2007</v>
      </c>
      <c r="D100">
        <v>19.727191865100924</v>
      </c>
      <c r="E100">
        <f t="shared" si="1"/>
        <v>10.550925925925926</v>
      </c>
    </row>
    <row r="101" spans="1:5" x14ac:dyDescent="0.25">
      <c r="A101" s="1">
        <v>2008</v>
      </c>
      <c r="B101">
        <v>10.9</v>
      </c>
      <c r="C101" s="1">
        <v>2008</v>
      </c>
      <c r="D101">
        <v>19.668464352226259</v>
      </c>
      <c r="E101">
        <f t="shared" si="1"/>
        <v>10.550925925925926</v>
      </c>
    </row>
    <row r="102" spans="1:5" x14ac:dyDescent="0.25">
      <c r="A102" s="1">
        <v>2009</v>
      </c>
      <c r="B102">
        <v>5.5</v>
      </c>
      <c r="C102" s="1">
        <v>2009</v>
      </c>
      <c r="D102">
        <v>19.588411199601524</v>
      </c>
      <c r="E102">
        <f t="shared" si="1"/>
        <v>10.550925925925926</v>
      </c>
    </row>
    <row r="103" spans="1:5" x14ac:dyDescent="0.25">
      <c r="A103" s="1">
        <v>2010</v>
      </c>
      <c r="B103">
        <v>22.2</v>
      </c>
      <c r="C103" s="1">
        <v>2010</v>
      </c>
      <c r="D103">
        <v>19.488058957013752</v>
      </c>
      <c r="E103">
        <f t="shared" si="1"/>
        <v>10.550925925925926</v>
      </c>
    </row>
    <row r="104" spans="1:5" x14ac:dyDescent="0.25">
      <c r="A104" s="1">
        <v>2011</v>
      </c>
      <c r="B104">
        <v>55.5</v>
      </c>
      <c r="C104" s="1">
        <v>2011</v>
      </c>
      <c r="D104">
        <v>19.369804868348279</v>
      </c>
      <c r="E104">
        <f t="shared" si="1"/>
        <v>10.550925925925926</v>
      </c>
    </row>
    <row r="105" spans="1:5" x14ac:dyDescent="0.25">
      <c r="A105" s="1">
        <v>2012</v>
      </c>
      <c r="B105">
        <v>5.3</v>
      </c>
      <c r="C105" s="1">
        <v>2012</v>
      </c>
      <c r="D105">
        <v>19.233981549437292</v>
      </c>
      <c r="E105">
        <f t="shared" si="1"/>
        <v>10.550925925925926</v>
      </c>
    </row>
    <row r="106" spans="1:5" x14ac:dyDescent="0.25">
      <c r="A106" s="1">
        <v>2013</v>
      </c>
      <c r="B106">
        <v>29.4</v>
      </c>
      <c r="C106" s="1">
        <v>2013</v>
      </c>
      <c r="D106">
        <v>19.076505704868282</v>
      </c>
      <c r="E106">
        <f t="shared" si="1"/>
        <v>10.550925925925926</v>
      </c>
    </row>
    <row r="107" spans="1:5" x14ac:dyDescent="0.25">
      <c r="A107" s="1">
        <v>2014</v>
      </c>
      <c r="B107">
        <v>6.1</v>
      </c>
      <c r="C107" s="1">
        <v>2014</v>
      </c>
      <c r="D107">
        <v>18.894293777828974</v>
      </c>
      <c r="E107">
        <f t="shared" si="1"/>
        <v>10.550925925925926</v>
      </c>
    </row>
    <row r="108" spans="1:5" x14ac:dyDescent="0.25">
      <c r="A108" s="1">
        <v>2015</v>
      </c>
      <c r="B108">
        <v>29.3</v>
      </c>
      <c r="C108" s="1">
        <v>2015</v>
      </c>
      <c r="D108">
        <v>18.684241657136671</v>
      </c>
      <c r="E108">
        <f t="shared" si="1"/>
        <v>10.550925925925926</v>
      </c>
    </row>
    <row r="109" spans="1:5" x14ac:dyDescent="0.25">
      <c r="A109" s="1">
        <v>2016</v>
      </c>
      <c r="B109">
        <v>0</v>
      </c>
      <c r="C109" s="1">
        <v>2016</v>
      </c>
      <c r="D109">
        <v>18.444774337592776</v>
      </c>
      <c r="E109">
        <f t="shared" si="1"/>
        <v>10.550925925925926</v>
      </c>
    </row>
    <row r="110" spans="1:5" x14ac:dyDescent="0.25">
      <c r="A110" s="1">
        <v>2017</v>
      </c>
      <c r="B110">
        <v>13.3</v>
      </c>
      <c r="C110" s="1">
        <v>2017</v>
      </c>
      <c r="D110">
        <v>18.174147505937025</v>
      </c>
      <c r="E110">
        <f t="shared" si="1"/>
        <v>10.550925925925926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45"/>
  <sheetViews>
    <sheetView topLeftCell="B1" workbookViewId="0">
      <selection activeCell="F6" sqref="F6"/>
    </sheetView>
  </sheetViews>
  <sheetFormatPr defaultRowHeight="15" x14ac:dyDescent="0.25"/>
  <cols>
    <col min="1" max="1" width="16.7109375" bestFit="1" customWidth="1"/>
    <col min="6" max="6" width="18.7109375" customWidth="1"/>
    <col min="13" max="18" width="12.5703125" customWidth="1"/>
  </cols>
  <sheetData>
    <row r="1" spans="1:19" x14ac:dyDescent="0.25">
      <c r="L1" t="s">
        <v>33</v>
      </c>
    </row>
    <row r="2" spans="1:19" x14ac:dyDescent="0.25">
      <c r="L2" t="s">
        <v>34</v>
      </c>
    </row>
    <row r="3" spans="1:19" x14ac:dyDescent="0.25">
      <c r="E3" s="3" t="s">
        <v>32</v>
      </c>
      <c r="F3">
        <v>30</v>
      </c>
      <c r="L3" t="s">
        <v>35</v>
      </c>
      <c r="N3" s="6"/>
    </row>
    <row r="4" spans="1:19" x14ac:dyDescent="0.25">
      <c r="A4" t="s">
        <v>28</v>
      </c>
      <c r="D4">
        <v>14</v>
      </c>
      <c r="E4" t="s">
        <v>29</v>
      </c>
      <c r="F4">
        <v>32</v>
      </c>
      <c r="N4" s="6"/>
    </row>
    <row r="5" spans="1:19" x14ac:dyDescent="0.25">
      <c r="C5">
        <v>1.8</v>
      </c>
      <c r="D5">
        <f>+D4*C5+F4</f>
        <v>57.2</v>
      </c>
      <c r="E5" t="s">
        <v>30</v>
      </c>
    </row>
    <row r="6" spans="1:19" x14ac:dyDescent="0.25">
      <c r="A6" t="s">
        <v>23</v>
      </c>
      <c r="B6" t="s">
        <v>24</v>
      </c>
      <c r="C6" t="s">
        <v>36</v>
      </c>
      <c r="D6" t="s">
        <v>39</v>
      </c>
      <c r="F6" t="str">
        <f>+"Trend—"&amp;F3&amp;" Year Moving Average"</f>
        <v>Trend—30 Year Moving Average</v>
      </c>
      <c r="G6" t="s">
        <v>19</v>
      </c>
      <c r="L6" t="s">
        <v>23</v>
      </c>
      <c r="M6" t="s">
        <v>37</v>
      </c>
      <c r="N6" t="s">
        <v>43</v>
      </c>
      <c r="O6" t="s">
        <v>38</v>
      </c>
      <c r="P6" t="s">
        <v>44</v>
      </c>
      <c r="Q6" t="s">
        <v>39</v>
      </c>
      <c r="R6" t="s">
        <v>45</v>
      </c>
      <c r="S6" t="s">
        <v>40</v>
      </c>
    </row>
    <row r="7" spans="1:19" x14ac:dyDescent="0.25">
      <c r="A7">
        <v>1880</v>
      </c>
      <c r="B7">
        <v>-0.19</v>
      </c>
      <c r="C7">
        <v>-0.11</v>
      </c>
      <c r="D7">
        <f>+B7*$C$5+$D$5</f>
        <v>56.858000000000004</v>
      </c>
      <c r="E7">
        <v>1880</v>
      </c>
      <c r="F7">
        <f t="array" ref="F7:F144">+LOESS(A7:A144,D7:D144,E7:E144,$F$3)</f>
        <v>56.824451646299373</v>
      </c>
      <c r="G7">
        <f>+AVERAGE($D$78:$D$107)</f>
        <v>57.20000000000001</v>
      </c>
      <c r="L7">
        <v>1880</v>
      </c>
      <c r="M7">
        <v>-0.19</v>
      </c>
      <c r="N7">
        <v>-0.23</v>
      </c>
      <c r="O7">
        <f>+M7*$C$5</f>
        <v>-0.34200000000000003</v>
      </c>
      <c r="P7">
        <f>+N7*$C$5</f>
        <v>-0.41400000000000003</v>
      </c>
      <c r="Q7">
        <f>+O7+$D$5</f>
        <v>56.858000000000004</v>
      </c>
      <c r="R7">
        <f>+P7+$D$5</f>
        <v>56.786000000000001</v>
      </c>
      <c r="S7">
        <f>+$D$5</f>
        <v>57.2</v>
      </c>
    </row>
    <row r="8" spans="1:19" x14ac:dyDescent="0.25">
      <c r="A8">
        <v>1881</v>
      </c>
      <c r="B8">
        <v>-0.1</v>
      </c>
      <c r="C8">
        <v>-0.14000000000000001</v>
      </c>
      <c r="D8">
        <f t="shared" ref="D8:D71" si="0">+B8*$C$5+$D$5</f>
        <v>57.02</v>
      </c>
      <c r="E8">
        <v>1881</v>
      </c>
      <c r="F8">
        <v>56.819046040298929</v>
      </c>
      <c r="G8">
        <f t="shared" ref="G8:G71" si="1">+AVERAGE($D$78:$D$107)</f>
        <v>57.20000000000001</v>
      </c>
      <c r="L8">
        <v>1881</v>
      </c>
      <c r="M8">
        <v>-0.11</v>
      </c>
      <c r="N8">
        <v>-0.23</v>
      </c>
      <c r="O8">
        <f t="shared" ref="O8:O71" si="2">+M8*$C$5</f>
        <v>-0.19800000000000001</v>
      </c>
      <c r="P8">
        <f t="shared" ref="P8:P71" si="3">+N8*$C$5</f>
        <v>-0.41400000000000003</v>
      </c>
      <c r="Q8">
        <f t="shared" ref="Q8:Q71" si="4">+O8+$D$5</f>
        <v>57.002000000000002</v>
      </c>
      <c r="R8">
        <f t="shared" ref="R8:R71" si="5">+P8+$D$5</f>
        <v>56.786000000000001</v>
      </c>
      <c r="S8">
        <f t="shared" ref="S8:S71" si="6">+$D$5</f>
        <v>57.2</v>
      </c>
    </row>
    <row r="9" spans="1:19" x14ac:dyDescent="0.25">
      <c r="A9">
        <v>1882</v>
      </c>
      <c r="B9">
        <v>-0.1</v>
      </c>
      <c r="C9">
        <v>-0.17</v>
      </c>
      <c r="D9">
        <f t="shared" si="0"/>
        <v>57.02</v>
      </c>
      <c r="E9">
        <v>1882</v>
      </c>
      <c r="F9">
        <v>56.81409357982367</v>
      </c>
      <c r="G9">
        <f t="shared" si="1"/>
        <v>57.20000000000001</v>
      </c>
      <c r="L9">
        <v>1882</v>
      </c>
      <c r="M9">
        <v>-0.11</v>
      </c>
      <c r="N9">
        <v>-0.23</v>
      </c>
      <c r="O9">
        <f t="shared" si="2"/>
        <v>-0.19800000000000001</v>
      </c>
      <c r="P9">
        <f t="shared" si="3"/>
        <v>-0.41400000000000003</v>
      </c>
      <c r="Q9">
        <f t="shared" si="4"/>
        <v>57.002000000000002</v>
      </c>
      <c r="R9">
        <f t="shared" si="5"/>
        <v>56.786000000000001</v>
      </c>
      <c r="S9">
        <f t="shared" si="6"/>
        <v>57.2</v>
      </c>
    </row>
    <row r="10" spans="1:19" x14ac:dyDescent="0.25">
      <c r="A10">
        <v>1883</v>
      </c>
      <c r="B10">
        <v>-0.19</v>
      </c>
      <c r="C10">
        <v>-0.21</v>
      </c>
      <c r="D10">
        <f t="shared" si="0"/>
        <v>56.858000000000004</v>
      </c>
      <c r="E10">
        <v>1883</v>
      </c>
      <c r="F10">
        <v>56.809558758819691</v>
      </c>
      <c r="G10">
        <f t="shared" si="1"/>
        <v>57.20000000000001</v>
      </c>
      <c r="L10">
        <v>1883</v>
      </c>
      <c r="M10">
        <v>-0.2</v>
      </c>
      <c r="N10">
        <v>-0.23</v>
      </c>
      <c r="O10">
        <f t="shared" si="2"/>
        <v>-0.36000000000000004</v>
      </c>
      <c r="P10">
        <f t="shared" si="3"/>
        <v>-0.41400000000000003</v>
      </c>
      <c r="Q10">
        <f t="shared" si="4"/>
        <v>56.84</v>
      </c>
      <c r="R10">
        <f t="shared" si="5"/>
        <v>56.786000000000001</v>
      </c>
      <c r="S10">
        <f t="shared" si="6"/>
        <v>57.2</v>
      </c>
    </row>
    <row r="11" spans="1:19" x14ac:dyDescent="0.25">
      <c r="A11">
        <v>1884</v>
      </c>
      <c r="B11">
        <v>-0.28000000000000003</v>
      </c>
      <c r="C11">
        <v>-0.24</v>
      </c>
      <c r="D11">
        <f t="shared" si="0"/>
        <v>56.696000000000005</v>
      </c>
      <c r="E11">
        <v>1884</v>
      </c>
      <c r="F11">
        <v>56.805351206632075</v>
      </c>
      <c r="G11">
        <f t="shared" si="1"/>
        <v>57.20000000000001</v>
      </c>
      <c r="L11">
        <v>1884</v>
      </c>
      <c r="M11">
        <v>-0.28000000000000003</v>
      </c>
      <c r="N11">
        <v>-0.24</v>
      </c>
      <c r="O11">
        <f t="shared" si="2"/>
        <v>-0.50400000000000011</v>
      </c>
      <c r="P11">
        <f t="shared" si="3"/>
        <v>-0.432</v>
      </c>
      <c r="Q11">
        <f t="shared" si="4"/>
        <v>56.696000000000005</v>
      </c>
      <c r="R11">
        <f t="shared" si="5"/>
        <v>56.768000000000001</v>
      </c>
      <c r="S11">
        <f t="shared" si="6"/>
        <v>57.2</v>
      </c>
    </row>
    <row r="12" spans="1:19" x14ac:dyDescent="0.25">
      <c r="A12">
        <v>1885</v>
      </c>
      <c r="B12">
        <v>-0.31</v>
      </c>
      <c r="C12">
        <v>-0.26</v>
      </c>
      <c r="D12">
        <f t="shared" si="0"/>
        <v>56.642000000000003</v>
      </c>
      <c r="E12">
        <v>1885</v>
      </c>
      <c r="F12">
        <v>56.801352143358585</v>
      </c>
      <c r="G12">
        <f t="shared" si="1"/>
        <v>57.20000000000001</v>
      </c>
      <c r="L12">
        <v>1885</v>
      </c>
      <c r="M12">
        <v>-0.32</v>
      </c>
      <c r="N12">
        <v>-0.24</v>
      </c>
      <c r="O12">
        <f t="shared" si="2"/>
        <v>-0.57600000000000007</v>
      </c>
      <c r="P12">
        <f t="shared" si="3"/>
        <v>-0.432</v>
      </c>
      <c r="Q12">
        <f t="shared" si="4"/>
        <v>56.624000000000002</v>
      </c>
      <c r="R12">
        <f t="shared" si="5"/>
        <v>56.768000000000001</v>
      </c>
      <c r="S12">
        <f t="shared" si="6"/>
        <v>57.2</v>
      </c>
    </row>
    <row r="13" spans="1:19" x14ac:dyDescent="0.25">
      <c r="A13">
        <v>1886</v>
      </c>
      <c r="B13">
        <v>-0.32</v>
      </c>
      <c r="C13">
        <v>-0.27</v>
      </c>
      <c r="D13">
        <f t="shared" si="0"/>
        <v>56.624000000000002</v>
      </c>
      <c r="E13">
        <v>1886</v>
      </c>
      <c r="F13">
        <v>56.797444093759303</v>
      </c>
      <c r="G13">
        <f t="shared" si="1"/>
        <v>57.20000000000001</v>
      </c>
      <c r="L13">
        <v>1886</v>
      </c>
      <c r="M13">
        <v>-0.32</v>
      </c>
      <c r="N13">
        <v>-0.24</v>
      </c>
      <c r="O13">
        <f t="shared" si="2"/>
        <v>-0.57600000000000007</v>
      </c>
      <c r="P13">
        <f t="shared" si="3"/>
        <v>-0.432</v>
      </c>
      <c r="Q13">
        <f t="shared" si="4"/>
        <v>56.624000000000002</v>
      </c>
      <c r="R13">
        <f t="shared" si="5"/>
        <v>56.768000000000001</v>
      </c>
      <c r="S13">
        <f t="shared" si="6"/>
        <v>57.2</v>
      </c>
    </row>
    <row r="14" spans="1:19" x14ac:dyDescent="0.25">
      <c r="A14">
        <v>1887</v>
      </c>
      <c r="B14">
        <v>-0.35</v>
      </c>
      <c r="C14">
        <v>-0.27</v>
      </c>
      <c r="D14">
        <f t="shared" si="0"/>
        <v>56.57</v>
      </c>
      <c r="E14">
        <v>1887</v>
      </c>
      <c r="F14">
        <v>56.793526169477907</v>
      </c>
      <c r="G14">
        <f t="shared" si="1"/>
        <v>57.20000000000001</v>
      </c>
      <c r="L14">
        <v>1887</v>
      </c>
      <c r="M14">
        <v>-0.35</v>
      </c>
      <c r="N14">
        <v>-0.24</v>
      </c>
      <c r="O14">
        <f t="shared" si="2"/>
        <v>-0.63</v>
      </c>
      <c r="P14">
        <f t="shared" si="3"/>
        <v>-0.432</v>
      </c>
      <c r="Q14">
        <f t="shared" si="4"/>
        <v>56.57</v>
      </c>
      <c r="R14">
        <f t="shared" si="5"/>
        <v>56.768000000000001</v>
      </c>
      <c r="S14">
        <f t="shared" si="6"/>
        <v>57.2</v>
      </c>
    </row>
    <row r="15" spans="1:19" x14ac:dyDescent="0.25">
      <c r="A15">
        <v>1888</v>
      </c>
      <c r="B15">
        <v>-0.18</v>
      </c>
      <c r="C15">
        <v>-0.27</v>
      </c>
      <c r="D15">
        <f t="shared" si="0"/>
        <v>56.876000000000005</v>
      </c>
      <c r="E15">
        <v>1888</v>
      </c>
      <c r="F15">
        <v>56.789525720814467</v>
      </c>
      <c r="G15">
        <f t="shared" si="1"/>
        <v>57.20000000000001</v>
      </c>
      <c r="L15">
        <v>1888</v>
      </c>
      <c r="M15">
        <v>-0.19</v>
      </c>
      <c r="N15">
        <v>-0.25</v>
      </c>
      <c r="O15">
        <f t="shared" si="2"/>
        <v>-0.34200000000000003</v>
      </c>
      <c r="P15">
        <f t="shared" si="3"/>
        <v>-0.45</v>
      </c>
      <c r="Q15">
        <f t="shared" si="4"/>
        <v>56.858000000000004</v>
      </c>
      <c r="R15">
        <f t="shared" si="5"/>
        <v>56.75</v>
      </c>
      <c r="S15">
        <f t="shared" si="6"/>
        <v>57.2</v>
      </c>
    </row>
    <row r="16" spans="1:19" x14ac:dyDescent="0.25">
      <c r="A16">
        <v>1889</v>
      </c>
      <c r="B16">
        <v>-0.11</v>
      </c>
      <c r="C16">
        <v>-0.26</v>
      </c>
      <c r="D16">
        <f t="shared" si="0"/>
        <v>57.002000000000002</v>
      </c>
      <c r="E16">
        <v>1889</v>
      </c>
      <c r="F16">
        <v>56.785408462646757</v>
      </c>
      <c r="G16">
        <f t="shared" si="1"/>
        <v>57.20000000000001</v>
      </c>
      <c r="L16">
        <v>1889</v>
      </c>
      <c r="M16">
        <v>-0.12</v>
      </c>
      <c r="N16">
        <v>-0.25</v>
      </c>
      <c r="O16">
        <f t="shared" si="2"/>
        <v>-0.216</v>
      </c>
      <c r="P16">
        <f t="shared" si="3"/>
        <v>-0.45</v>
      </c>
      <c r="Q16">
        <f t="shared" si="4"/>
        <v>56.984000000000002</v>
      </c>
      <c r="R16">
        <f t="shared" si="5"/>
        <v>56.75</v>
      </c>
      <c r="S16">
        <f t="shared" si="6"/>
        <v>57.2</v>
      </c>
    </row>
    <row r="17" spans="1:19" x14ac:dyDescent="0.25">
      <c r="A17">
        <v>1890</v>
      </c>
      <c r="B17">
        <v>-0.37</v>
      </c>
      <c r="C17">
        <v>-0.26</v>
      </c>
      <c r="D17">
        <f t="shared" si="0"/>
        <v>56.534000000000006</v>
      </c>
      <c r="E17">
        <v>1890</v>
      </c>
      <c r="F17">
        <v>56.781142594165125</v>
      </c>
      <c r="G17">
        <f t="shared" si="1"/>
        <v>57.20000000000001</v>
      </c>
      <c r="L17">
        <v>1890</v>
      </c>
      <c r="M17">
        <v>-0.38</v>
      </c>
      <c r="N17">
        <v>-0.25</v>
      </c>
      <c r="O17">
        <f t="shared" si="2"/>
        <v>-0.68400000000000005</v>
      </c>
      <c r="P17">
        <f t="shared" si="3"/>
        <v>-0.45</v>
      </c>
      <c r="Q17">
        <f t="shared" si="4"/>
        <v>56.516000000000005</v>
      </c>
      <c r="R17">
        <f t="shared" si="5"/>
        <v>56.75</v>
      </c>
      <c r="S17">
        <f t="shared" si="6"/>
        <v>57.2</v>
      </c>
    </row>
    <row r="18" spans="1:19" x14ac:dyDescent="0.25">
      <c r="A18">
        <v>1891</v>
      </c>
      <c r="B18">
        <v>-0.24</v>
      </c>
      <c r="C18">
        <v>-0.27</v>
      </c>
      <c r="D18">
        <f t="shared" si="0"/>
        <v>56.768000000000001</v>
      </c>
      <c r="E18">
        <v>1891</v>
      </c>
      <c r="F18">
        <v>56.776686089866622</v>
      </c>
      <c r="G18">
        <f t="shared" si="1"/>
        <v>57.20000000000001</v>
      </c>
      <c r="L18">
        <v>1891</v>
      </c>
      <c r="M18">
        <v>-0.25</v>
      </c>
      <c r="N18">
        <v>-0.25</v>
      </c>
      <c r="O18">
        <f t="shared" si="2"/>
        <v>-0.45</v>
      </c>
      <c r="P18">
        <f t="shared" si="3"/>
        <v>-0.45</v>
      </c>
      <c r="Q18">
        <f t="shared" si="4"/>
        <v>56.75</v>
      </c>
      <c r="R18">
        <f t="shared" si="5"/>
        <v>56.75</v>
      </c>
      <c r="S18">
        <f t="shared" si="6"/>
        <v>57.2</v>
      </c>
    </row>
    <row r="19" spans="1:19" x14ac:dyDescent="0.25">
      <c r="A19">
        <v>1892</v>
      </c>
      <c r="B19">
        <v>-0.27</v>
      </c>
      <c r="C19">
        <v>-0.27</v>
      </c>
      <c r="D19">
        <f t="shared" si="0"/>
        <v>56.714000000000006</v>
      </c>
      <c r="E19">
        <v>1892</v>
      </c>
      <c r="F19">
        <v>56.772094870948749</v>
      </c>
      <c r="G19">
        <f t="shared" si="1"/>
        <v>57.20000000000001</v>
      </c>
      <c r="L19">
        <v>1892</v>
      </c>
      <c r="M19">
        <v>-0.28000000000000003</v>
      </c>
      <c r="N19">
        <v>-0.25</v>
      </c>
      <c r="O19">
        <f t="shared" si="2"/>
        <v>-0.50400000000000011</v>
      </c>
      <c r="P19">
        <f t="shared" si="3"/>
        <v>-0.45</v>
      </c>
      <c r="Q19">
        <f t="shared" si="4"/>
        <v>56.696000000000005</v>
      </c>
      <c r="R19">
        <f t="shared" si="5"/>
        <v>56.75</v>
      </c>
      <c r="S19">
        <f t="shared" si="6"/>
        <v>57.2</v>
      </c>
    </row>
    <row r="20" spans="1:19" x14ac:dyDescent="0.25">
      <c r="A20">
        <v>1893</v>
      </c>
      <c r="B20">
        <v>-0.32</v>
      </c>
      <c r="C20">
        <v>-0.27</v>
      </c>
      <c r="D20">
        <f t="shared" si="0"/>
        <v>56.624000000000002</v>
      </c>
      <c r="E20">
        <v>1893</v>
      </c>
      <c r="F20">
        <v>56.767703894067758</v>
      </c>
      <c r="G20">
        <f t="shared" si="1"/>
        <v>57.20000000000001</v>
      </c>
      <c r="L20">
        <v>1893</v>
      </c>
      <c r="M20">
        <v>-0.33</v>
      </c>
      <c r="N20">
        <v>-0.26</v>
      </c>
      <c r="O20">
        <f t="shared" si="2"/>
        <v>-0.59400000000000008</v>
      </c>
      <c r="P20">
        <f t="shared" si="3"/>
        <v>-0.46800000000000003</v>
      </c>
      <c r="Q20">
        <f t="shared" si="4"/>
        <v>56.606000000000002</v>
      </c>
      <c r="R20">
        <f t="shared" si="5"/>
        <v>56.731999999999999</v>
      </c>
      <c r="S20">
        <f t="shared" si="6"/>
        <v>57.2</v>
      </c>
    </row>
    <row r="21" spans="1:19" x14ac:dyDescent="0.25">
      <c r="A21">
        <v>1894</v>
      </c>
      <c r="B21">
        <v>-0.32</v>
      </c>
      <c r="C21">
        <v>-0.24</v>
      </c>
      <c r="D21">
        <f t="shared" si="0"/>
        <v>56.624000000000002</v>
      </c>
      <c r="E21">
        <v>1894</v>
      </c>
      <c r="F21">
        <v>56.764746781648867</v>
      </c>
      <c r="G21">
        <f t="shared" si="1"/>
        <v>57.20000000000001</v>
      </c>
      <c r="L21">
        <v>1894</v>
      </c>
      <c r="M21">
        <v>-0.32</v>
      </c>
      <c r="N21">
        <v>-0.26</v>
      </c>
      <c r="O21">
        <f t="shared" si="2"/>
        <v>-0.57600000000000007</v>
      </c>
      <c r="P21">
        <f t="shared" si="3"/>
        <v>-0.46800000000000003</v>
      </c>
      <c r="Q21">
        <f t="shared" si="4"/>
        <v>56.624000000000002</v>
      </c>
      <c r="R21">
        <f t="shared" si="5"/>
        <v>56.731999999999999</v>
      </c>
      <c r="S21">
        <f t="shared" si="6"/>
        <v>57.2</v>
      </c>
    </row>
    <row r="22" spans="1:19" x14ac:dyDescent="0.25">
      <c r="A22">
        <v>1895</v>
      </c>
      <c r="B22">
        <v>-0.22</v>
      </c>
      <c r="C22">
        <v>-0.23</v>
      </c>
      <c r="D22">
        <f t="shared" si="0"/>
        <v>56.804000000000002</v>
      </c>
      <c r="E22">
        <v>1895</v>
      </c>
      <c r="F22">
        <v>56.76555142041169</v>
      </c>
      <c r="G22">
        <f t="shared" si="1"/>
        <v>57.20000000000001</v>
      </c>
      <c r="L22">
        <v>1895</v>
      </c>
      <c r="M22">
        <v>-0.24</v>
      </c>
      <c r="N22">
        <v>-0.26</v>
      </c>
      <c r="O22">
        <f t="shared" si="2"/>
        <v>-0.432</v>
      </c>
      <c r="P22">
        <f t="shared" si="3"/>
        <v>-0.46800000000000003</v>
      </c>
      <c r="Q22">
        <f t="shared" si="4"/>
        <v>56.768000000000001</v>
      </c>
      <c r="R22">
        <f t="shared" si="5"/>
        <v>56.731999999999999</v>
      </c>
      <c r="S22">
        <f t="shared" si="6"/>
        <v>57.2</v>
      </c>
    </row>
    <row r="23" spans="1:19" x14ac:dyDescent="0.25">
      <c r="A23">
        <v>1896</v>
      </c>
      <c r="B23">
        <v>-0.11</v>
      </c>
      <c r="C23">
        <v>-0.21</v>
      </c>
      <c r="D23">
        <f t="shared" si="0"/>
        <v>57.002000000000002</v>
      </c>
      <c r="E23">
        <v>1896</v>
      </c>
      <c r="F23">
        <v>56.760760396202826</v>
      </c>
      <c r="G23">
        <f t="shared" si="1"/>
        <v>57.20000000000001</v>
      </c>
      <c r="L23">
        <v>1896</v>
      </c>
      <c r="M23">
        <v>-0.13</v>
      </c>
      <c r="N23">
        <v>-0.26</v>
      </c>
      <c r="O23">
        <f t="shared" si="2"/>
        <v>-0.23400000000000001</v>
      </c>
      <c r="P23">
        <f t="shared" si="3"/>
        <v>-0.46800000000000003</v>
      </c>
      <c r="Q23">
        <f t="shared" si="4"/>
        <v>56.966000000000001</v>
      </c>
      <c r="R23">
        <f t="shared" si="5"/>
        <v>56.731999999999999</v>
      </c>
      <c r="S23">
        <f t="shared" si="6"/>
        <v>57.2</v>
      </c>
    </row>
    <row r="24" spans="1:19" x14ac:dyDescent="0.25">
      <c r="A24">
        <v>1897</v>
      </c>
      <c r="B24">
        <v>-0.12</v>
      </c>
      <c r="C24">
        <v>-0.19</v>
      </c>
      <c r="D24">
        <f t="shared" si="0"/>
        <v>56.984000000000002</v>
      </c>
      <c r="E24">
        <v>1897</v>
      </c>
      <c r="F24">
        <v>56.753258596927445</v>
      </c>
      <c r="G24">
        <f t="shared" si="1"/>
        <v>57.20000000000001</v>
      </c>
      <c r="L24">
        <v>1897</v>
      </c>
      <c r="M24">
        <v>-0.13</v>
      </c>
      <c r="N24">
        <v>-0.26</v>
      </c>
      <c r="O24">
        <f t="shared" si="2"/>
        <v>-0.23400000000000001</v>
      </c>
      <c r="P24">
        <f t="shared" si="3"/>
        <v>-0.46800000000000003</v>
      </c>
      <c r="Q24">
        <f t="shared" si="4"/>
        <v>56.966000000000001</v>
      </c>
      <c r="R24">
        <f t="shared" si="5"/>
        <v>56.731999999999999</v>
      </c>
      <c r="S24">
        <f t="shared" si="6"/>
        <v>57.2</v>
      </c>
    </row>
    <row r="25" spans="1:19" x14ac:dyDescent="0.25">
      <c r="A25">
        <v>1898</v>
      </c>
      <c r="B25">
        <v>-0.28000000000000003</v>
      </c>
      <c r="C25">
        <v>-0.17</v>
      </c>
      <c r="D25">
        <f t="shared" si="0"/>
        <v>56.696000000000005</v>
      </c>
      <c r="E25">
        <v>1898</v>
      </c>
      <c r="F25">
        <v>56.742614338576118</v>
      </c>
      <c r="G25">
        <f t="shared" si="1"/>
        <v>57.20000000000001</v>
      </c>
      <c r="L25">
        <v>1898</v>
      </c>
      <c r="M25">
        <v>-0.28000000000000003</v>
      </c>
      <c r="N25">
        <v>-0.26</v>
      </c>
      <c r="O25">
        <f t="shared" si="2"/>
        <v>-0.50400000000000011</v>
      </c>
      <c r="P25">
        <f t="shared" si="3"/>
        <v>-0.46800000000000003</v>
      </c>
      <c r="Q25">
        <f t="shared" si="4"/>
        <v>56.696000000000005</v>
      </c>
      <c r="R25">
        <f t="shared" si="5"/>
        <v>56.731999999999999</v>
      </c>
      <c r="S25">
        <f t="shared" si="6"/>
        <v>57.2</v>
      </c>
    </row>
    <row r="26" spans="1:19" x14ac:dyDescent="0.25">
      <c r="A26">
        <v>1899</v>
      </c>
      <c r="B26">
        <v>-0.18</v>
      </c>
      <c r="C26">
        <v>-0.18</v>
      </c>
      <c r="D26">
        <f t="shared" si="0"/>
        <v>56.876000000000005</v>
      </c>
      <c r="E26">
        <v>1899</v>
      </c>
      <c r="F26">
        <v>56.729086838379175</v>
      </c>
      <c r="G26">
        <f t="shared" si="1"/>
        <v>57.20000000000001</v>
      </c>
      <c r="L26">
        <v>1899</v>
      </c>
      <c r="M26">
        <v>-0.19</v>
      </c>
      <c r="N26">
        <v>-0.27</v>
      </c>
      <c r="O26">
        <f t="shared" si="2"/>
        <v>-0.34200000000000003</v>
      </c>
      <c r="P26">
        <f t="shared" si="3"/>
        <v>-0.48600000000000004</v>
      </c>
      <c r="Q26">
        <f t="shared" si="4"/>
        <v>56.858000000000004</v>
      </c>
      <c r="R26">
        <f t="shared" si="5"/>
        <v>56.714000000000006</v>
      </c>
      <c r="S26">
        <f t="shared" si="6"/>
        <v>57.2</v>
      </c>
    </row>
    <row r="27" spans="1:19" x14ac:dyDescent="0.25">
      <c r="A27">
        <v>1900</v>
      </c>
      <c r="B27">
        <v>-0.09</v>
      </c>
      <c r="C27">
        <v>-0.21</v>
      </c>
      <c r="D27">
        <f t="shared" si="0"/>
        <v>57.038000000000004</v>
      </c>
      <c r="E27">
        <v>1900</v>
      </c>
      <c r="F27">
        <v>56.713595908704342</v>
      </c>
      <c r="G27">
        <f t="shared" si="1"/>
        <v>57.20000000000001</v>
      </c>
      <c r="L27">
        <v>1900</v>
      </c>
      <c r="M27">
        <v>-0.1</v>
      </c>
      <c r="N27">
        <v>-0.27</v>
      </c>
      <c r="O27">
        <f t="shared" si="2"/>
        <v>-0.18000000000000002</v>
      </c>
      <c r="P27">
        <f t="shared" si="3"/>
        <v>-0.48600000000000004</v>
      </c>
      <c r="Q27">
        <f t="shared" si="4"/>
        <v>57.02</v>
      </c>
      <c r="R27">
        <f t="shared" si="5"/>
        <v>56.714000000000006</v>
      </c>
      <c r="S27">
        <f t="shared" si="6"/>
        <v>57.2</v>
      </c>
    </row>
    <row r="28" spans="1:19" x14ac:dyDescent="0.25">
      <c r="A28">
        <v>1901</v>
      </c>
      <c r="B28">
        <v>-0.15</v>
      </c>
      <c r="C28">
        <v>-0.24</v>
      </c>
      <c r="D28">
        <f t="shared" si="0"/>
        <v>56.93</v>
      </c>
      <c r="E28">
        <v>1901</v>
      </c>
      <c r="F28">
        <v>56.697365490990052</v>
      </c>
      <c r="G28">
        <f t="shared" si="1"/>
        <v>57.20000000000001</v>
      </c>
      <c r="L28">
        <v>1901</v>
      </c>
      <c r="M28">
        <v>-0.16</v>
      </c>
      <c r="N28">
        <v>-0.27</v>
      </c>
      <c r="O28">
        <f t="shared" si="2"/>
        <v>-0.28800000000000003</v>
      </c>
      <c r="P28">
        <f t="shared" si="3"/>
        <v>-0.48600000000000004</v>
      </c>
      <c r="Q28">
        <f t="shared" si="4"/>
        <v>56.912000000000006</v>
      </c>
      <c r="R28">
        <f t="shared" si="5"/>
        <v>56.714000000000006</v>
      </c>
      <c r="S28">
        <f t="shared" si="6"/>
        <v>57.2</v>
      </c>
    </row>
    <row r="29" spans="1:19" x14ac:dyDescent="0.25">
      <c r="A29">
        <v>1902</v>
      </c>
      <c r="B29">
        <v>-0.3</v>
      </c>
      <c r="C29">
        <v>-0.27</v>
      </c>
      <c r="D29">
        <f t="shared" si="0"/>
        <v>56.660000000000004</v>
      </c>
      <c r="E29">
        <v>1902</v>
      </c>
      <c r="F29">
        <v>56.681757627238362</v>
      </c>
      <c r="G29">
        <f t="shared" si="1"/>
        <v>57.20000000000001</v>
      </c>
      <c r="L29">
        <v>1902</v>
      </c>
      <c r="M29">
        <v>-0.3</v>
      </c>
      <c r="N29">
        <v>-0.27</v>
      </c>
      <c r="O29">
        <f t="shared" si="2"/>
        <v>-0.54</v>
      </c>
      <c r="P29">
        <f t="shared" si="3"/>
        <v>-0.48600000000000004</v>
      </c>
      <c r="Q29">
        <f t="shared" si="4"/>
        <v>56.660000000000004</v>
      </c>
      <c r="R29">
        <f t="shared" si="5"/>
        <v>56.714000000000006</v>
      </c>
      <c r="S29">
        <f t="shared" si="6"/>
        <v>57.2</v>
      </c>
    </row>
    <row r="30" spans="1:19" x14ac:dyDescent="0.25">
      <c r="A30">
        <v>1903</v>
      </c>
      <c r="B30">
        <v>-0.39</v>
      </c>
      <c r="C30">
        <v>-0.3</v>
      </c>
      <c r="D30">
        <f t="shared" si="0"/>
        <v>56.498000000000005</v>
      </c>
      <c r="E30">
        <v>1903</v>
      </c>
      <c r="F30">
        <v>56.667375218371902</v>
      </c>
      <c r="G30">
        <f t="shared" si="1"/>
        <v>57.20000000000001</v>
      </c>
      <c r="L30">
        <v>1903</v>
      </c>
      <c r="M30">
        <v>-0.39</v>
      </c>
      <c r="N30">
        <v>-0.27</v>
      </c>
      <c r="O30">
        <f t="shared" si="2"/>
        <v>-0.70200000000000007</v>
      </c>
      <c r="P30">
        <f t="shared" si="3"/>
        <v>-0.48600000000000004</v>
      </c>
      <c r="Q30">
        <f t="shared" si="4"/>
        <v>56.498000000000005</v>
      </c>
      <c r="R30">
        <f t="shared" si="5"/>
        <v>56.714000000000006</v>
      </c>
      <c r="S30">
        <f t="shared" si="6"/>
        <v>57.2</v>
      </c>
    </row>
    <row r="31" spans="1:19" x14ac:dyDescent="0.25">
      <c r="A31">
        <v>1904</v>
      </c>
      <c r="B31">
        <v>-0.49</v>
      </c>
      <c r="C31">
        <v>-0.32</v>
      </c>
      <c r="D31">
        <f t="shared" si="0"/>
        <v>56.318000000000005</v>
      </c>
      <c r="E31">
        <v>1904</v>
      </c>
      <c r="F31">
        <v>56.653850955338172</v>
      </c>
      <c r="G31">
        <f t="shared" si="1"/>
        <v>57.20000000000001</v>
      </c>
      <c r="L31">
        <v>1904</v>
      </c>
      <c r="M31">
        <v>-0.5</v>
      </c>
      <c r="N31">
        <v>-0.27</v>
      </c>
      <c r="O31">
        <f t="shared" si="2"/>
        <v>-0.9</v>
      </c>
      <c r="P31">
        <f t="shared" si="3"/>
        <v>-0.48600000000000004</v>
      </c>
      <c r="Q31">
        <f t="shared" si="4"/>
        <v>56.300000000000004</v>
      </c>
      <c r="R31">
        <f t="shared" si="5"/>
        <v>56.714000000000006</v>
      </c>
      <c r="S31">
        <f t="shared" si="6"/>
        <v>57.2</v>
      </c>
    </row>
    <row r="32" spans="1:19" x14ac:dyDescent="0.25">
      <c r="A32">
        <v>1905</v>
      </c>
      <c r="B32">
        <v>-0.28000000000000003</v>
      </c>
      <c r="C32">
        <v>-0.35</v>
      </c>
      <c r="D32">
        <f t="shared" si="0"/>
        <v>56.696000000000005</v>
      </c>
      <c r="E32">
        <v>1905</v>
      </c>
      <c r="F32">
        <v>56.640835781975802</v>
      </c>
      <c r="G32">
        <f t="shared" si="1"/>
        <v>57.20000000000001</v>
      </c>
      <c r="L32">
        <v>1905</v>
      </c>
      <c r="M32">
        <v>-0.28000000000000003</v>
      </c>
      <c r="N32">
        <v>-0.27</v>
      </c>
      <c r="O32">
        <f t="shared" si="2"/>
        <v>-0.50400000000000011</v>
      </c>
      <c r="P32">
        <f t="shared" si="3"/>
        <v>-0.48600000000000004</v>
      </c>
      <c r="Q32">
        <f t="shared" si="4"/>
        <v>56.696000000000005</v>
      </c>
      <c r="R32">
        <f t="shared" si="5"/>
        <v>56.714000000000006</v>
      </c>
      <c r="S32">
        <f t="shared" si="6"/>
        <v>57.2</v>
      </c>
    </row>
    <row r="33" spans="1:19" x14ac:dyDescent="0.25">
      <c r="A33">
        <v>1906</v>
      </c>
      <c r="B33">
        <v>-0.23</v>
      </c>
      <c r="C33">
        <v>-0.37</v>
      </c>
      <c r="D33">
        <f t="shared" si="0"/>
        <v>56.786000000000001</v>
      </c>
      <c r="E33">
        <v>1906</v>
      </c>
      <c r="F33">
        <v>56.628333022273239</v>
      </c>
      <c r="G33">
        <f t="shared" si="1"/>
        <v>57.20000000000001</v>
      </c>
      <c r="L33">
        <v>1906</v>
      </c>
      <c r="M33">
        <v>-0.23</v>
      </c>
      <c r="N33">
        <v>-0.27</v>
      </c>
      <c r="O33">
        <f t="shared" si="2"/>
        <v>-0.41400000000000003</v>
      </c>
      <c r="P33">
        <f t="shared" si="3"/>
        <v>-0.48600000000000004</v>
      </c>
      <c r="Q33">
        <f t="shared" si="4"/>
        <v>56.786000000000001</v>
      </c>
      <c r="R33">
        <f t="shared" si="5"/>
        <v>56.714000000000006</v>
      </c>
      <c r="S33">
        <f t="shared" si="6"/>
        <v>57.2</v>
      </c>
    </row>
    <row r="34" spans="1:19" x14ac:dyDescent="0.25">
      <c r="A34">
        <v>1907</v>
      </c>
      <c r="B34">
        <v>-0.4</v>
      </c>
      <c r="C34">
        <v>-0.38</v>
      </c>
      <c r="D34">
        <f t="shared" si="0"/>
        <v>56.480000000000004</v>
      </c>
      <c r="E34">
        <v>1907</v>
      </c>
      <c r="F34">
        <v>56.616831727389155</v>
      </c>
      <c r="G34">
        <f t="shared" si="1"/>
        <v>57.20000000000001</v>
      </c>
      <c r="L34">
        <v>1907</v>
      </c>
      <c r="M34">
        <v>-0.4</v>
      </c>
      <c r="N34">
        <v>-0.28000000000000003</v>
      </c>
      <c r="O34">
        <f t="shared" si="2"/>
        <v>-0.72000000000000008</v>
      </c>
      <c r="P34">
        <f t="shared" si="3"/>
        <v>-0.50400000000000011</v>
      </c>
      <c r="Q34">
        <f t="shared" si="4"/>
        <v>56.480000000000004</v>
      </c>
      <c r="R34">
        <f t="shared" si="5"/>
        <v>56.696000000000005</v>
      </c>
      <c r="S34">
        <f t="shared" si="6"/>
        <v>57.2</v>
      </c>
    </row>
    <row r="35" spans="1:19" x14ac:dyDescent="0.25">
      <c r="A35">
        <v>1908</v>
      </c>
      <c r="B35">
        <v>-0.44</v>
      </c>
      <c r="C35">
        <v>-0.4</v>
      </c>
      <c r="D35">
        <f t="shared" si="0"/>
        <v>56.408000000000001</v>
      </c>
      <c r="E35">
        <v>1908</v>
      </c>
      <c r="F35">
        <v>56.607305383981071</v>
      </c>
      <c r="G35">
        <f t="shared" si="1"/>
        <v>57.20000000000001</v>
      </c>
      <c r="L35">
        <v>1908</v>
      </c>
      <c r="M35">
        <v>-0.44</v>
      </c>
      <c r="N35">
        <v>-0.28000000000000003</v>
      </c>
      <c r="O35">
        <f t="shared" si="2"/>
        <v>-0.79200000000000004</v>
      </c>
      <c r="P35">
        <f t="shared" si="3"/>
        <v>-0.50400000000000011</v>
      </c>
      <c r="Q35">
        <f t="shared" si="4"/>
        <v>56.408000000000001</v>
      </c>
      <c r="R35">
        <f t="shared" si="5"/>
        <v>56.696000000000005</v>
      </c>
      <c r="S35">
        <f t="shared" si="6"/>
        <v>57.2</v>
      </c>
    </row>
    <row r="36" spans="1:19" x14ac:dyDescent="0.25">
      <c r="A36">
        <v>1909</v>
      </c>
      <c r="B36">
        <v>-0.48</v>
      </c>
      <c r="C36">
        <v>-0.41</v>
      </c>
      <c r="D36">
        <f t="shared" si="0"/>
        <v>56.336000000000006</v>
      </c>
      <c r="E36">
        <v>1909</v>
      </c>
      <c r="F36">
        <v>56.600918365802947</v>
      </c>
      <c r="G36">
        <f t="shared" si="1"/>
        <v>57.20000000000001</v>
      </c>
      <c r="L36">
        <v>1909</v>
      </c>
      <c r="M36">
        <v>-0.48</v>
      </c>
      <c r="N36">
        <v>-0.28000000000000003</v>
      </c>
      <c r="O36">
        <f t="shared" si="2"/>
        <v>-0.86399999999999999</v>
      </c>
      <c r="P36">
        <f t="shared" si="3"/>
        <v>-0.50400000000000011</v>
      </c>
      <c r="Q36">
        <f t="shared" si="4"/>
        <v>56.336000000000006</v>
      </c>
      <c r="R36">
        <f t="shared" si="5"/>
        <v>56.696000000000005</v>
      </c>
      <c r="S36">
        <f t="shared" si="6"/>
        <v>57.2</v>
      </c>
    </row>
    <row r="37" spans="1:19" x14ac:dyDescent="0.25">
      <c r="A37">
        <v>1910</v>
      </c>
      <c r="B37">
        <v>-0.44</v>
      </c>
      <c r="C37">
        <v>-0.41</v>
      </c>
      <c r="D37">
        <f t="shared" si="0"/>
        <v>56.408000000000001</v>
      </c>
      <c r="E37">
        <v>1910</v>
      </c>
      <c r="F37">
        <v>56.598218590449164</v>
      </c>
      <c r="G37">
        <f t="shared" si="1"/>
        <v>57.20000000000001</v>
      </c>
      <c r="L37">
        <v>1910</v>
      </c>
      <c r="M37">
        <v>-0.44</v>
      </c>
      <c r="N37">
        <v>-0.27</v>
      </c>
      <c r="O37">
        <f t="shared" si="2"/>
        <v>-0.79200000000000004</v>
      </c>
      <c r="P37">
        <f t="shared" si="3"/>
        <v>-0.48600000000000004</v>
      </c>
      <c r="Q37">
        <f t="shared" si="4"/>
        <v>56.408000000000001</v>
      </c>
      <c r="R37">
        <f t="shared" si="5"/>
        <v>56.714000000000006</v>
      </c>
      <c r="S37">
        <f t="shared" si="6"/>
        <v>57.2</v>
      </c>
    </row>
    <row r="38" spans="1:19" x14ac:dyDescent="0.25">
      <c r="A38">
        <v>1911</v>
      </c>
      <c r="B38">
        <v>-0.43</v>
      </c>
      <c r="C38">
        <v>-0.39</v>
      </c>
      <c r="D38">
        <f t="shared" si="0"/>
        <v>56.426000000000002</v>
      </c>
      <c r="E38">
        <v>1911</v>
      </c>
      <c r="F38">
        <v>56.599277215449113</v>
      </c>
      <c r="G38">
        <f t="shared" si="1"/>
        <v>57.20000000000001</v>
      </c>
      <c r="L38">
        <v>1911</v>
      </c>
      <c r="M38">
        <v>-0.43</v>
      </c>
      <c r="N38">
        <v>-0.27</v>
      </c>
      <c r="O38">
        <f t="shared" si="2"/>
        <v>-0.77400000000000002</v>
      </c>
      <c r="P38">
        <f t="shared" si="3"/>
        <v>-0.48600000000000004</v>
      </c>
      <c r="Q38">
        <f t="shared" si="4"/>
        <v>56.426000000000002</v>
      </c>
      <c r="R38">
        <f t="shared" si="5"/>
        <v>56.714000000000006</v>
      </c>
      <c r="S38">
        <f t="shared" si="6"/>
        <v>57.2</v>
      </c>
    </row>
    <row r="39" spans="1:19" x14ac:dyDescent="0.25">
      <c r="A39">
        <v>1912</v>
      </c>
      <c r="B39">
        <v>-0.36</v>
      </c>
      <c r="C39">
        <v>-0.35</v>
      </c>
      <c r="D39">
        <f t="shared" si="0"/>
        <v>56.552</v>
      </c>
      <c r="E39">
        <v>1912</v>
      </c>
      <c r="F39">
        <v>56.604160657864831</v>
      </c>
      <c r="G39">
        <f t="shared" si="1"/>
        <v>57.20000000000001</v>
      </c>
      <c r="L39">
        <v>1912</v>
      </c>
      <c r="M39">
        <v>-0.36</v>
      </c>
      <c r="N39">
        <v>-0.27</v>
      </c>
      <c r="O39">
        <f t="shared" si="2"/>
        <v>-0.64800000000000002</v>
      </c>
      <c r="P39">
        <f t="shared" si="3"/>
        <v>-0.48600000000000004</v>
      </c>
      <c r="Q39">
        <f t="shared" si="4"/>
        <v>56.552</v>
      </c>
      <c r="R39">
        <f t="shared" si="5"/>
        <v>56.714000000000006</v>
      </c>
      <c r="S39">
        <f t="shared" si="6"/>
        <v>57.2</v>
      </c>
    </row>
    <row r="40" spans="1:19" x14ac:dyDescent="0.25">
      <c r="A40">
        <v>1913</v>
      </c>
      <c r="B40">
        <v>-0.35</v>
      </c>
      <c r="C40">
        <v>-0.32</v>
      </c>
      <c r="D40">
        <f t="shared" si="0"/>
        <v>56.57</v>
      </c>
      <c r="E40">
        <v>1913</v>
      </c>
      <c r="F40">
        <v>56.61321796072739</v>
      </c>
      <c r="G40">
        <f t="shared" si="1"/>
        <v>57.20000000000001</v>
      </c>
      <c r="L40">
        <v>1913</v>
      </c>
      <c r="M40">
        <v>-0.35</v>
      </c>
      <c r="N40">
        <v>-0.27</v>
      </c>
      <c r="O40">
        <f t="shared" si="2"/>
        <v>-0.63</v>
      </c>
      <c r="P40">
        <f t="shared" si="3"/>
        <v>-0.48600000000000004</v>
      </c>
      <c r="Q40">
        <f t="shared" si="4"/>
        <v>56.57</v>
      </c>
      <c r="R40">
        <f t="shared" si="5"/>
        <v>56.714000000000006</v>
      </c>
      <c r="S40">
        <f t="shared" si="6"/>
        <v>57.2</v>
      </c>
    </row>
    <row r="41" spans="1:19" x14ac:dyDescent="0.25">
      <c r="A41">
        <v>1914</v>
      </c>
      <c r="B41">
        <v>-0.16</v>
      </c>
      <c r="C41">
        <v>-0.3</v>
      </c>
      <c r="D41">
        <f t="shared" si="0"/>
        <v>56.912000000000006</v>
      </c>
      <c r="E41">
        <v>1914</v>
      </c>
      <c r="F41">
        <v>56.626438103524897</v>
      </c>
      <c r="G41">
        <f t="shared" si="1"/>
        <v>57.20000000000001</v>
      </c>
      <c r="L41">
        <v>1914</v>
      </c>
      <c r="M41">
        <v>-0.16</v>
      </c>
      <c r="N41">
        <v>-0.27</v>
      </c>
      <c r="O41">
        <f t="shared" si="2"/>
        <v>-0.28800000000000003</v>
      </c>
      <c r="P41">
        <f t="shared" si="3"/>
        <v>-0.48600000000000004</v>
      </c>
      <c r="Q41">
        <f t="shared" si="4"/>
        <v>56.912000000000006</v>
      </c>
      <c r="R41">
        <f t="shared" si="5"/>
        <v>56.714000000000006</v>
      </c>
      <c r="S41">
        <f t="shared" si="6"/>
        <v>57.2</v>
      </c>
    </row>
    <row r="42" spans="1:19" x14ac:dyDescent="0.25">
      <c r="A42">
        <v>1915</v>
      </c>
      <c r="B42">
        <v>-0.12</v>
      </c>
      <c r="C42">
        <v>-0.28999999999999998</v>
      </c>
      <c r="D42">
        <f t="shared" si="0"/>
        <v>56.984000000000002</v>
      </c>
      <c r="E42">
        <v>1915</v>
      </c>
      <c r="F42">
        <v>56.642972798328728</v>
      </c>
      <c r="G42">
        <f t="shared" si="1"/>
        <v>57.20000000000001</v>
      </c>
      <c r="L42">
        <v>1915</v>
      </c>
      <c r="M42">
        <v>-0.12</v>
      </c>
      <c r="N42">
        <v>-0.26</v>
      </c>
      <c r="O42">
        <f t="shared" si="2"/>
        <v>-0.216</v>
      </c>
      <c r="P42">
        <f t="shared" si="3"/>
        <v>-0.46800000000000003</v>
      </c>
      <c r="Q42">
        <f t="shared" si="4"/>
        <v>56.984000000000002</v>
      </c>
      <c r="R42">
        <f t="shared" si="5"/>
        <v>56.731999999999999</v>
      </c>
      <c r="S42">
        <f t="shared" si="6"/>
        <v>57.2</v>
      </c>
    </row>
    <row r="43" spans="1:19" x14ac:dyDescent="0.25">
      <c r="A43">
        <v>1916</v>
      </c>
      <c r="B43">
        <v>-0.33</v>
      </c>
      <c r="C43">
        <v>-0.28000000000000003</v>
      </c>
      <c r="D43">
        <f t="shared" si="0"/>
        <v>56.606000000000002</v>
      </c>
      <c r="E43">
        <v>1916</v>
      </c>
      <c r="F43">
        <v>56.661568686647406</v>
      </c>
      <c r="G43">
        <f t="shared" si="1"/>
        <v>57.20000000000001</v>
      </c>
      <c r="L43">
        <v>1916</v>
      </c>
      <c r="M43">
        <v>-0.33</v>
      </c>
      <c r="N43">
        <v>-0.26</v>
      </c>
      <c r="O43">
        <f t="shared" si="2"/>
        <v>-0.59400000000000008</v>
      </c>
      <c r="P43">
        <f t="shared" si="3"/>
        <v>-0.46800000000000003</v>
      </c>
      <c r="Q43">
        <f t="shared" si="4"/>
        <v>56.606000000000002</v>
      </c>
      <c r="R43">
        <f t="shared" si="5"/>
        <v>56.731999999999999</v>
      </c>
      <c r="S43">
        <f t="shared" si="6"/>
        <v>57.2</v>
      </c>
    </row>
    <row r="44" spans="1:19" x14ac:dyDescent="0.25">
      <c r="A44">
        <v>1917</v>
      </c>
      <c r="B44">
        <v>-0.43</v>
      </c>
      <c r="C44">
        <v>-0.28000000000000003</v>
      </c>
      <c r="D44">
        <f t="shared" si="0"/>
        <v>56.426000000000002</v>
      </c>
      <c r="E44">
        <v>1917</v>
      </c>
      <c r="F44">
        <v>56.68089589023441</v>
      </c>
      <c r="G44">
        <f t="shared" si="1"/>
        <v>57.20000000000001</v>
      </c>
      <c r="L44">
        <v>1917</v>
      </c>
      <c r="M44">
        <v>-0.44</v>
      </c>
      <c r="N44">
        <v>-0.26</v>
      </c>
      <c r="O44">
        <f t="shared" si="2"/>
        <v>-0.79200000000000004</v>
      </c>
      <c r="P44">
        <f t="shared" si="3"/>
        <v>-0.46800000000000003</v>
      </c>
      <c r="Q44">
        <f t="shared" si="4"/>
        <v>56.408000000000001</v>
      </c>
      <c r="R44">
        <f t="shared" si="5"/>
        <v>56.731999999999999</v>
      </c>
      <c r="S44">
        <f t="shared" si="6"/>
        <v>57.2</v>
      </c>
    </row>
    <row r="45" spans="1:19" x14ac:dyDescent="0.25">
      <c r="A45">
        <v>1918</v>
      </c>
      <c r="B45">
        <v>-0.28000000000000003</v>
      </c>
      <c r="C45">
        <v>-0.28000000000000003</v>
      </c>
      <c r="D45">
        <f t="shared" si="0"/>
        <v>56.696000000000005</v>
      </c>
      <c r="E45">
        <v>1918</v>
      </c>
      <c r="F45">
        <v>56.700449987679775</v>
      </c>
      <c r="G45">
        <f t="shared" si="1"/>
        <v>57.20000000000001</v>
      </c>
      <c r="L45">
        <v>1918</v>
      </c>
      <c r="M45">
        <v>-0.28000000000000003</v>
      </c>
      <c r="N45">
        <v>-0.25</v>
      </c>
      <c r="O45">
        <f t="shared" si="2"/>
        <v>-0.50400000000000011</v>
      </c>
      <c r="P45">
        <f t="shared" si="3"/>
        <v>-0.45</v>
      </c>
      <c r="Q45">
        <f t="shared" si="4"/>
        <v>56.696000000000005</v>
      </c>
      <c r="R45">
        <f t="shared" si="5"/>
        <v>56.75</v>
      </c>
      <c r="S45">
        <f t="shared" si="6"/>
        <v>57.2</v>
      </c>
    </row>
    <row r="46" spans="1:19" x14ac:dyDescent="0.25">
      <c r="A46">
        <v>1919</v>
      </c>
      <c r="B46">
        <v>-0.27</v>
      </c>
      <c r="C46">
        <v>-0.28000000000000003</v>
      </c>
      <c r="D46">
        <f t="shared" si="0"/>
        <v>56.714000000000006</v>
      </c>
      <c r="E46">
        <v>1919</v>
      </c>
      <c r="F46">
        <v>56.72015903781093</v>
      </c>
      <c r="G46">
        <f t="shared" si="1"/>
        <v>57.20000000000001</v>
      </c>
      <c r="L46">
        <v>1919</v>
      </c>
      <c r="M46">
        <v>-0.27</v>
      </c>
      <c r="N46">
        <v>-0.25</v>
      </c>
      <c r="O46">
        <f t="shared" si="2"/>
        <v>-0.48600000000000004</v>
      </c>
      <c r="P46">
        <f t="shared" si="3"/>
        <v>-0.45</v>
      </c>
      <c r="Q46">
        <f t="shared" si="4"/>
        <v>56.714000000000006</v>
      </c>
      <c r="R46">
        <f t="shared" si="5"/>
        <v>56.75</v>
      </c>
      <c r="S46">
        <f t="shared" si="6"/>
        <v>57.2</v>
      </c>
    </row>
    <row r="47" spans="1:19" x14ac:dyDescent="0.25">
      <c r="A47">
        <v>1920</v>
      </c>
      <c r="B47">
        <v>-0.25</v>
      </c>
      <c r="C47">
        <v>-0.26</v>
      </c>
      <c r="D47">
        <f t="shared" si="0"/>
        <v>56.75</v>
      </c>
      <c r="E47">
        <v>1920</v>
      </c>
      <c r="F47">
        <v>56.739069813369056</v>
      </c>
      <c r="G47">
        <f t="shared" si="1"/>
        <v>57.20000000000001</v>
      </c>
      <c r="L47">
        <v>1920</v>
      </c>
      <c r="M47">
        <v>-0.26</v>
      </c>
      <c r="N47">
        <v>-0.24</v>
      </c>
      <c r="O47">
        <f t="shared" si="2"/>
        <v>-0.46800000000000003</v>
      </c>
      <c r="P47">
        <f t="shared" si="3"/>
        <v>-0.432</v>
      </c>
      <c r="Q47">
        <f t="shared" si="4"/>
        <v>56.731999999999999</v>
      </c>
      <c r="R47">
        <f t="shared" si="5"/>
        <v>56.768000000000001</v>
      </c>
      <c r="S47">
        <f t="shared" si="6"/>
        <v>57.2</v>
      </c>
    </row>
    <row r="48" spans="1:19" x14ac:dyDescent="0.25">
      <c r="A48">
        <v>1921</v>
      </c>
      <c r="B48">
        <v>-0.17</v>
      </c>
      <c r="C48">
        <v>-0.25</v>
      </c>
      <c r="D48">
        <f t="shared" si="0"/>
        <v>56.894000000000005</v>
      </c>
      <c r="E48">
        <v>1921</v>
      </c>
      <c r="F48">
        <v>56.755798476039097</v>
      </c>
      <c r="G48">
        <f t="shared" si="1"/>
        <v>57.20000000000001</v>
      </c>
      <c r="L48">
        <v>1921</v>
      </c>
      <c r="M48">
        <v>-0.18</v>
      </c>
      <c r="N48">
        <v>-0.24</v>
      </c>
      <c r="O48">
        <f t="shared" si="2"/>
        <v>-0.32400000000000001</v>
      </c>
      <c r="P48">
        <f t="shared" si="3"/>
        <v>-0.432</v>
      </c>
      <c r="Q48">
        <f t="shared" si="4"/>
        <v>56.876000000000005</v>
      </c>
      <c r="R48">
        <f t="shared" si="5"/>
        <v>56.768000000000001</v>
      </c>
      <c r="S48">
        <f t="shared" si="6"/>
        <v>57.2</v>
      </c>
    </row>
    <row r="49" spans="1:19" x14ac:dyDescent="0.25">
      <c r="A49">
        <v>1922</v>
      </c>
      <c r="B49">
        <v>-0.27</v>
      </c>
      <c r="C49">
        <v>-0.24</v>
      </c>
      <c r="D49">
        <f t="shared" si="0"/>
        <v>56.714000000000006</v>
      </c>
      <c r="E49">
        <v>1922</v>
      </c>
      <c r="F49">
        <v>56.769915329023206</v>
      </c>
      <c r="G49">
        <f t="shared" si="1"/>
        <v>57.20000000000001</v>
      </c>
      <c r="L49">
        <v>1922</v>
      </c>
      <c r="M49">
        <v>-0.27</v>
      </c>
      <c r="N49">
        <v>-0.23</v>
      </c>
      <c r="O49">
        <f t="shared" si="2"/>
        <v>-0.48600000000000004</v>
      </c>
      <c r="P49">
        <f t="shared" si="3"/>
        <v>-0.41400000000000003</v>
      </c>
      <c r="Q49">
        <f t="shared" si="4"/>
        <v>56.714000000000006</v>
      </c>
      <c r="R49">
        <f t="shared" si="5"/>
        <v>56.786000000000001</v>
      </c>
      <c r="S49">
        <f t="shared" si="6"/>
        <v>57.2</v>
      </c>
    </row>
    <row r="50" spans="1:19" x14ac:dyDescent="0.25">
      <c r="A50">
        <v>1923</v>
      </c>
      <c r="B50">
        <v>-0.24</v>
      </c>
      <c r="C50">
        <v>-0.22</v>
      </c>
      <c r="D50">
        <f t="shared" si="0"/>
        <v>56.768000000000001</v>
      </c>
      <c r="E50">
        <v>1923</v>
      </c>
      <c r="F50">
        <v>56.781597876877882</v>
      </c>
      <c r="G50">
        <f t="shared" si="1"/>
        <v>57.20000000000001</v>
      </c>
      <c r="L50">
        <v>1923</v>
      </c>
      <c r="M50">
        <v>-0.25</v>
      </c>
      <c r="N50">
        <v>-0.22</v>
      </c>
      <c r="O50">
        <f t="shared" si="2"/>
        <v>-0.45</v>
      </c>
      <c r="P50">
        <f t="shared" si="3"/>
        <v>-0.39600000000000002</v>
      </c>
      <c r="Q50">
        <f t="shared" si="4"/>
        <v>56.75</v>
      </c>
      <c r="R50">
        <f t="shared" si="5"/>
        <v>56.804000000000002</v>
      </c>
      <c r="S50">
        <f t="shared" si="6"/>
        <v>57.2</v>
      </c>
    </row>
    <row r="51" spans="1:19" x14ac:dyDescent="0.25">
      <c r="A51">
        <v>1924</v>
      </c>
      <c r="B51">
        <v>-0.25</v>
      </c>
      <c r="C51">
        <v>-0.21</v>
      </c>
      <c r="D51">
        <f t="shared" si="0"/>
        <v>56.75</v>
      </c>
      <c r="E51">
        <v>1924</v>
      </c>
      <c r="F51">
        <v>56.791686453017192</v>
      </c>
      <c r="G51">
        <f t="shared" si="1"/>
        <v>57.20000000000001</v>
      </c>
      <c r="L51">
        <v>1924</v>
      </c>
      <c r="M51">
        <v>-0.26</v>
      </c>
      <c r="N51">
        <v>-0.21</v>
      </c>
      <c r="O51">
        <f t="shared" si="2"/>
        <v>-0.46800000000000003</v>
      </c>
      <c r="P51">
        <f t="shared" si="3"/>
        <v>-0.378</v>
      </c>
      <c r="Q51">
        <f t="shared" si="4"/>
        <v>56.731999999999999</v>
      </c>
      <c r="R51">
        <f t="shared" si="5"/>
        <v>56.822000000000003</v>
      </c>
      <c r="S51">
        <f t="shared" si="6"/>
        <v>57.2</v>
      </c>
    </row>
    <row r="52" spans="1:19" x14ac:dyDescent="0.25">
      <c r="A52">
        <v>1925</v>
      </c>
      <c r="B52">
        <v>-0.21</v>
      </c>
      <c r="C52">
        <v>-0.21</v>
      </c>
      <c r="D52">
        <f t="shared" si="0"/>
        <v>56.822000000000003</v>
      </c>
      <c r="E52">
        <v>1925</v>
      </c>
      <c r="F52">
        <v>56.801596392868731</v>
      </c>
      <c r="G52">
        <f t="shared" si="1"/>
        <v>57.20000000000001</v>
      </c>
      <c r="L52">
        <v>1925</v>
      </c>
      <c r="M52">
        <v>-0.21</v>
      </c>
      <c r="N52">
        <v>-0.21</v>
      </c>
      <c r="O52">
        <f t="shared" si="2"/>
        <v>-0.378</v>
      </c>
      <c r="P52">
        <f t="shared" si="3"/>
        <v>-0.378</v>
      </c>
      <c r="Q52">
        <f t="shared" si="4"/>
        <v>56.822000000000003</v>
      </c>
      <c r="R52">
        <f t="shared" si="5"/>
        <v>56.822000000000003</v>
      </c>
      <c r="S52">
        <f t="shared" si="6"/>
        <v>57.2</v>
      </c>
    </row>
    <row r="53" spans="1:19" x14ac:dyDescent="0.25">
      <c r="A53">
        <v>1926</v>
      </c>
      <c r="B53">
        <v>-0.09</v>
      </c>
      <c r="C53">
        <v>-0.2</v>
      </c>
      <c r="D53">
        <f t="shared" si="0"/>
        <v>57.038000000000004</v>
      </c>
      <c r="E53">
        <v>1926</v>
      </c>
      <c r="F53">
        <v>56.812830188179376</v>
      </c>
      <c r="G53">
        <f t="shared" si="1"/>
        <v>57.20000000000001</v>
      </c>
      <c r="L53">
        <v>1926</v>
      </c>
      <c r="M53">
        <v>-0.09</v>
      </c>
      <c r="N53">
        <v>-0.2</v>
      </c>
      <c r="O53">
        <f t="shared" si="2"/>
        <v>-0.16200000000000001</v>
      </c>
      <c r="P53">
        <f t="shared" si="3"/>
        <v>-0.36000000000000004</v>
      </c>
      <c r="Q53">
        <f t="shared" si="4"/>
        <v>57.038000000000004</v>
      </c>
      <c r="R53">
        <f t="shared" si="5"/>
        <v>56.84</v>
      </c>
      <c r="S53">
        <f t="shared" si="6"/>
        <v>57.2</v>
      </c>
    </row>
    <row r="54" spans="1:19" x14ac:dyDescent="0.25">
      <c r="A54">
        <v>1927</v>
      </c>
      <c r="B54">
        <v>-0.2</v>
      </c>
      <c r="C54">
        <v>-0.2</v>
      </c>
      <c r="D54">
        <f t="shared" si="0"/>
        <v>56.84</v>
      </c>
      <c r="E54">
        <v>1927</v>
      </c>
      <c r="F54">
        <v>56.826489698514905</v>
      </c>
      <c r="G54">
        <f t="shared" si="1"/>
        <v>57.20000000000001</v>
      </c>
      <c r="L54">
        <v>1927</v>
      </c>
      <c r="M54">
        <v>-0.2</v>
      </c>
      <c r="N54">
        <v>-0.19</v>
      </c>
      <c r="O54">
        <f t="shared" si="2"/>
        <v>-0.36000000000000004</v>
      </c>
      <c r="P54">
        <f t="shared" si="3"/>
        <v>-0.34200000000000003</v>
      </c>
      <c r="Q54">
        <f t="shared" si="4"/>
        <v>56.84</v>
      </c>
      <c r="R54">
        <f t="shared" si="5"/>
        <v>56.858000000000004</v>
      </c>
      <c r="S54">
        <f t="shared" si="6"/>
        <v>57.2</v>
      </c>
    </row>
    <row r="55" spans="1:19" x14ac:dyDescent="0.25">
      <c r="A55">
        <v>1928</v>
      </c>
      <c r="B55">
        <v>-0.19</v>
      </c>
      <c r="C55">
        <v>-0.19</v>
      </c>
      <c r="D55">
        <f t="shared" si="0"/>
        <v>56.858000000000004</v>
      </c>
      <c r="E55">
        <v>1928</v>
      </c>
      <c r="F55">
        <v>56.843256528141396</v>
      </c>
      <c r="G55">
        <f t="shared" si="1"/>
        <v>57.20000000000001</v>
      </c>
      <c r="L55">
        <v>1928</v>
      </c>
      <c r="M55">
        <v>-0.19</v>
      </c>
      <c r="N55">
        <v>-0.18</v>
      </c>
      <c r="O55">
        <f t="shared" si="2"/>
        <v>-0.34200000000000003</v>
      </c>
      <c r="P55">
        <f t="shared" si="3"/>
        <v>-0.32400000000000001</v>
      </c>
      <c r="Q55">
        <f t="shared" si="4"/>
        <v>56.858000000000004</v>
      </c>
      <c r="R55">
        <f t="shared" si="5"/>
        <v>56.876000000000005</v>
      </c>
      <c r="S55">
        <f t="shared" si="6"/>
        <v>57.2</v>
      </c>
    </row>
    <row r="56" spans="1:19" x14ac:dyDescent="0.25">
      <c r="A56">
        <v>1929</v>
      </c>
      <c r="B56">
        <v>-0.35</v>
      </c>
      <c r="C56">
        <v>-0.18</v>
      </c>
      <c r="D56">
        <f t="shared" si="0"/>
        <v>56.57</v>
      </c>
      <c r="E56">
        <v>1929</v>
      </c>
      <c r="F56">
        <v>56.863044726565498</v>
      </c>
      <c r="G56">
        <f t="shared" si="1"/>
        <v>57.20000000000001</v>
      </c>
      <c r="L56">
        <v>1929</v>
      </c>
      <c r="M56">
        <v>-0.35</v>
      </c>
      <c r="N56">
        <v>-0.17</v>
      </c>
      <c r="O56">
        <f t="shared" si="2"/>
        <v>-0.63</v>
      </c>
      <c r="P56">
        <f t="shared" si="3"/>
        <v>-0.30600000000000005</v>
      </c>
      <c r="Q56">
        <f t="shared" si="4"/>
        <v>56.57</v>
      </c>
      <c r="R56">
        <f t="shared" si="5"/>
        <v>56.894000000000005</v>
      </c>
      <c r="S56">
        <f t="shared" si="6"/>
        <v>57.2</v>
      </c>
    </row>
    <row r="57" spans="1:19" x14ac:dyDescent="0.25">
      <c r="A57">
        <v>1930</v>
      </c>
      <c r="B57">
        <v>-0.15</v>
      </c>
      <c r="C57">
        <v>-0.19</v>
      </c>
      <c r="D57">
        <f t="shared" si="0"/>
        <v>56.93</v>
      </c>
      <c r="E57">
        <v>1930</v>
      </c>
      <c r="F57">
        <v>56.885247530878594</v>
      </c>
      <c r="G57">
        <f t="shared" si="1"/>
        <v>57.20000000000001</v>
      </c>
      <c r="L57">
        <v>1930</v>
      </c>
      <c r="M57">
        <v>-0.15</v>
      </c>
      <c r="N57">
        <v>-0.16</v>
      </c>
      <c r="O57">
        <f t="shared" si="2"/>
        <v>-0.27</v>
      </c>
      <c r="P57">
        <f t="shared" si="3"/>
        <v>-0.28800000000000003</v>
      </c>
      <c r="Q57">
        <f t="shared" si="4"/>
        <v>56.93</v>
      </c>
      <c r="R57">
        <f t="shared" si="5"/>
        <v>56.912000000000006</v>
      </c>
      <c r="S57">
        <f t="shared" si="6"/>
        <v>57.2</v>
      </c>
    </row>
    <row r="58" spans="1:19" x14ac:dyDescent="0.25">
      <c r="A58">
        <v>1931</v>
      </c>
      <c r="B58">
        <v>-0.1</v>
      </c>
      <c r="C58">
        <v>-0.19</v>
      </c>
      <c r="D58">
        <f t="shared" si="0"/>
        <v>57.02</v>
      </c>
      <c r="E58">
        <v>1931</v>
      </c>
      <c r="F58">
        <v>56.909907119612832</v>
      </c>
      <c r="G58">
        <f t="shared" si="1"/>
        <v>57.20000000000001</v>
      </c>
      <c r="L58">
        <v>1931</v>
      </c>
      <c r="M58">
        <v>-0.1</v>
      </c>
      <c r="N58">
        <v>-0.16</v>
      </c>
      <c r="O58">
        <f t="shared" si="2"/>
        <v>-0.18000000000000002</v>
      </c>
      <c r="P58">
        <f t="shared" si="3"/>
        <v>-0.28800000000000003</v>
      </c>
      <c r="Q58">
        <f t="shared" si="4"/>
        <v>57.02</v>
      </c>
      <c r="R58">
        <f t="shared" si="5"/>
        <v>56.912000000000006</v>
      </c>
      <c r="S58">
        <f t="shared" si="6"/>
        <v>57.2</v>
      </c>
    </row>
    <row r="59" spans="1:19" x14ac:dyDescent="0.25">
      <c r="A59">
        <v>1932</v>
      </c>
      <c r="B59">
        <v>-0.17</v>
      </c>
      <c r="C59">
        <v>-0.18</v>
      </c>
      <c r="D59">
        <f t="shared" si="0"/>
        <v>56.894000000000005</v>
      </c>
      <c r="E59">
        <v>1932</v>
      </c>
      <c r="F59">
        <v>56.937477086830285</v>
      </c>
      <c r="G59">
        <f t="shared" si="1"/>
        <v>57.20000000000001</v>
      </c>
      <c r="L59">
        <v>1932</v>
      </c>
      <c r="M59">
        <v>-0.17</v>
      </c>
      <c r="N59">
        <v>-0.15</v>
      </c>
      <c r="O59">
        <f t="shared" si="2"/>
        <v>-0.30600000000000005</v>
      </c>
      <c r="P59">
        <f t="shared" si="3"/>
        <v>-0.27</v>
      </c>
      <c r="Q59">
        <f t="shared" si="4"/>
        <v>56.894000000000005</v>
      </c>
      <c r="R59">
        <f t="shared" si="5"/>
        <v>56.93</v>
      </c>
      <c r="S59">
        <f t="shared" si="6"/>
        <v>57.2</v>
      </c>
    </row>
    <row r="60" spans="1:19" x14ac:dyDescent="0.25">
      <c r="A60">
        <v>1933</v>
      </c>
      <c r="B60">
        <v>-0.3</v>
      </c>
      <c r="C60">
        <v>-0.18</v>
      </c>
      <c r="D60">
        <f t="shared" si="0"/>
        <v>56.660000000000004</v>
      </c>
      <c r="E60">
        <v>1933</v>
      </c>
      <c r="F60">
        <v>56.967474543334923</v>
      </c>
      <c r="G60">
        <f t="shared" si="1"/>
        <v>57.20000000000001</v>
      </c>
      <c r="L60">
        <v>1933</v>
      </c>
      <c r="M60">
        <v>-0.3</v>
      </c>
      <c r="N60">
        <v>-0.14000000000000001</v>
      </c>
      <c r="O60">
        <f t="shared" si="2"/>
        <v>-0.54</v>
      </c>
      <c r="P60">
        <f t="shared" si="3"/>
        <v>-0.25200000000000006</v>
      </c>
      <c r="Q60">
        <f t="shared" si="4"/>
        <v>56.660000000000004</v>
      </c>
      <c r="R60">
        <f t="shared" si="5"/>
        <v>56.948</v>
      </c>
      <c r="S60">
        <f t="shared" si="6"/>
        <v>57.2</v>
      </c>
    </row>
    <row r="61" spans="1:19" x14ac:dyDescent="0.25">
      <c r="A61">
        <v>1934</v>
      </c>
      <c r="B61">
        <v>-0.14000000000000001</v>
      </c>
      <c r="C61">
        <v>-0.17</v>
      </c>
      <c r="D61">
        <f t="shared" si="0"/>
        <v>56.948</v>
      </c>
      <c r="E61">
        <v>1934</v>
      </c>
      <c r="F61">
        <v>56.998539588499796</v>
      </c>
      <c r="G61">
        <f t="shared" si="1"/>
        <v>57.20000000000001</v>
      </c>
      <c r="L61">
        <v>1934</v>
      </c>
      <c r="M61">
        <v>-0.14000000000000001</v>
      </c>
      <c r="N61">
        <v>-0.13</v>
      </c>
      <c r="O61">
        <f t="shared" si="2"/>
        <v>-0.25200000000000006</v>
      </c>
      <c r="P61">
        <f t="shared" si="3"/>
        <v>-0.23400000000000001</v>
      </c>
      <c r="Q61">
        <f t="shared" si="4"/>
        <v>56.948</v>
      </c>
      <c r="R61">
        <f t="shared" si="5"/>
        <v>56.966000000000001</v>
      </c>
      <c r="S61">
        <f t="shared" si="6"/>
        <v>57.2</v>
      </c>
    </row>
    <row r="62" spans="1:19" x14ac:dyDescent="0.25">
      <c r="A62">
        <v>1935</v>
      </c>
      <c r="B62">
        <v>-0.21</v>
      </c>
      <c r="C62">
        <v>-0.15</v>
      </c>
      <c r="D62">
        <f t="shared" si="0"/>
        <v>56.822000000000003</v>
      </c>
      <c r="E62">
        <v>1935</v>
      </c>
      <c r="F62">
        <v>57.029151874324761</v>
      </c>
      <c r="G62">
        <f t="shared" si="1"/>
        <v>57.20000000000001</v>
      </c>
      <c r="L62">
        <v>1935</v>
      </c>
      <c r="M62">
        <v>-0.21</v>
      </c>
      <c r="N62">
        <v>-0.13</v>
      </c>
      <c r="O62">
        <f t="shared" si="2"/>
        <v>-0.378</v>
      </c>
      <c r="P62">
        <f t="shared" si="3"/>
        <v>-0.23400000000000001</v>
      </c>
      <c r="Q62">
        <f t="shared" si="4"/>
        <v>56.822000000000003</v>
      </c>
      <c r="R62">
        <f t="shared" si="5"/>
        <v>56.966000000000001</v>
      </c>
      <c r="S62">
        <f t="shared" si="6"/>
        <v>57.2</v>
      </c>
    </row>
    <row r="63" spans="1:19" x14ac:dyDescent="0.25">
      <c r="A63">
        <v>1936</v>
      </c>
      <c r="B63">
        <v>-0.16</v>
      </c>
      <c r="C63">
        <v>-0.12</v>
      </c>
      <c r="D63">
        <f t="shared" si="0"/>
        <v>56.912000000000006</v>
      </c>
      <c r="E63">
        <v>1936</v>
      </c>
      <c r="F63">
        <v>57.057804883475043</v>
      </c>
      <c r="G63">
        <f t="shared" si="1"/>
        <v>57.20000000000001</v>
      </c>
      <c r="L63">
        <v>1936</v>
      </c>
      <c r="M63">
        <v>-0.16</v>
      </c>
      <c r="N63">
        <v>-0.12</v>
      </c>
      <c r="O63">
        <f t="shared" si="2"/>
        <v>-0.28800000000000003</v>
      </c>
      <c r="P63">
        <f t="shared" si="3"/>
        <v>-0.216</v>
      </c>
      <c r="Q63">
        <f t="shared" si="4"/>
        <v>56.912000000000006</v>
      </c>
      <c r="R63">
        <f t="shared" si="5"/>
        <v>56.984000000000002</v>
      </c>
      <c r="S63">
        <f t="shared" si="6"/>
        <v>57.2</v>
      </c>
    </row>
    <row r="64" spans="1:19" x14ac:dyDescent="0.25">
      <c r="A64">
        <v>1937</v>
      </c>
      <c r="B64">
        <v>-0.04</v>
      </c>
      <c r="C64">
        <v>-0.08</v>
      </c>
      <c r="D64">
        <f t="shared" si="0"/>
        <v>57.128</v>
      </c>
      <c r="E64">
        <v>1937</v>
      </c>
      <c r="F64">
        <v>57.083583630499895</v>
      </c>
      <c r="G64">
        <f t="shared" si="1"/>
        <v>57.20000000000001</v>
      </c>
      <c r="L64">
        <v>1937</v>
      </c>
      <c r="M64">
        <v>-0.04</v>
      </c>
      <c r="N64">
        <v>-0.11</v>
      </c>
      <c r="O64">
        <f t="shared" si="2"/>
        <v>-7.2000000000000008E-2</v>
      </c>
      <c r="P64">
        <f t="shared" si="3"/>
        <v>-0.19800000000000001</v>
      </c>
      <c r="Q64">
        <f t="shared" si="4"/>
        <v>57.128</v>
      </c>
      <c r="R64">
        <f t="shared" si="5"/>
        <v>57.002000000000002</v>
      </c>
      <c r="S64">
        <f t="shared" si="6"/>
        <v>57.2</v>
      </c>
    </row>
    <row r="65" spans="1:19" x14ac:dyDescent="0.25">
      <c r="A65">
        <v>1938</v>
      </c>
      <c r="B65">
        <v>-0.03</v>
      </c>
      <c r="C65">
        <v>-0.03</v>
      </c>
      <c r="D65">
        <f t="shared" si="0"/>
        <v>57.146000000000001</v>
      </c>
      <c r="E65">
        <v>1938</v>
      </c>
      <c r="F65">
        <v>57.105948485270261</v>
      </c>
      <c r="G65">
        <f t="shared" si="1"/>
        <v>57.20000000000001</v>
      </c>
      <c r="L65">
        <v>1938</v>
      </c>
      <c r="M65">
        <v>-0.03</v>
      </c>
      <c r="N65">
        <v>-0.11</v>
      </c>
      <c r="O65">
        <f t="shared" si="2"/>
        <v>-5.3999999999999999E-2</v>
      </c>
      <c r="P65">
        <f t="shared" si="3"/>
        <v>-0.19800000000000001</v>
      </c>
      <c r="Q65">
        <f t="shared" si="4"/>
        <v>57.146000000000001</v>
      </c>
      <c r="R65">
        <f t="shared" si="5"/>
        <v>57.002000000000002</v>
      </c>
      <c r="S65">
        <f t="shared" si="6"/>
        <v>57.2</v>
      </c>
    </row>
    <row r="66" spans="1:19" x14ac:dyDescent="0.25">
      <c r="A66">
        <v>1939</v>
      </c>
      <c r="B66">
        <v>-0.03</v>
      </c>
      <c r="C66">
        <v>0.01</v>
      </c>
      <c r="D66">
        <f t="shared" si="0"/>
        <v>57.146000000000001</v>
      </c>
      <c r="E66">
        <v>1939</v>
      </c>
      <c r="F66">
        <v>57.124969907261779</v>
      </c>
      <c r="G66">
        <f t="shared" si="1"/>
        <v>57.20000000000001</v>
      </c>
      <c r="L66">
        <v>1939</v>
      </c>
      <c r="M66">
        <v>-0.03</v>
      </c>
      <c r="N66">
        <v>-0.1</v>
      </c>
      <c r="O66">
        <f t="shared" si="2"/>
        <v>-5.3999999999999999E-2</v>
      </c>
      <c r="P66">
        <f t="shared" si="3"/>
        <v>-0.18000000000000002</v>
      </c>
      <c r="Q66">
        <f t="shared" si="4"/>
        <v>57.146000000000001</v>
      </c>
      <c r="R66">
        <f t="shared" si="5"/>
        <v>57.02</v>
      </c>
      <c r="S66">
        <f t="shared" si="6"/>
        <v>57.2</v>
      </c>
    </row>
    <row r="67" spans="1:19" x14ac:dyDescent="0.25">
      <c r="A67">
        <v>1940</v>
      </c>
      <c r="B67">
        <v>0.11</v>
      </c>
      <c r="C67">
        <v>0.05</v>
      </c>
      <c r="D67">
        <f t="shared" si="0"/>
        <v>57.398000000000003</v>
      </c>
      <c r="E67">
        <v>1940</v>
      </c>
      <c r="F67">
        <v>57.141155544993701</v>
      </c>
      <c r="G67">
        <f t="shared" si="1"/>
        <v>57.20000000000001</v>
      </c>
      <c r="L67">
        <v>1940</v>
      </c>
      <c r="M67">
        <v>0.11</v>
      </c>
      <c r="N67">
        <v>-0.09</v>
      </c>
      <c r="O67">
        <f t="shared" si="2"/>
        <v>0.19800000000000001</v>
      </c>
      <c r="P67">
        <f t="shared" si="3"/>
        <v>-0.16200000000000001</v>
      </c>
      <c r="Q67">
        <f t="shared" si="4"/>
        <v>57.398000000000003</v>
      </c>
      <c r="R67">
        <f t="shared" si="5"/>
        <v>57.038000000000004</v>
      </c>
      <c r="S67">
        <f t="shared" si="6"/>
        <v>57.2</v>
      </c>
    </row>
    <row r="68" spans="1:19" x14ac:dyDescent="0.25">
      <c r="A68">
        <v>1941</v>
      </c>
      <c r="B68">
        <v>0.18</v>
      </c>
      <c r="C68">
        <v>0.08</v>
      </c>
      <c r="D68">
        <f t="shared" si="0"/>
        <v>57.524000000000001</v>
      </c>
      <c r="E68">
        <v>1941</v>
      </c>
      <c r="F68">
        <v>57.154997736453083</v>
      </c>
      <c r="G68">
        <f t="shared" si="1"/>
        <v>57.20000000000001</v>
      </c>
      <c r="L68">
        <v>1941</v>
      </c>
      <c r="M68">
        <v>0.18</v>
      </c>
      <c r="N68">
        <v>-0.09</v>
      </c>
      <c r="O68">
        <f t="shared" si="2"/>
        <v>0.32400000000000001</v>
      </c>
      <c r="P68">
        <f t="shared" si="3"/>
        <v>-0.16200000000000001</v>
      </c>
      <c r="Q68">
        <f t="shared" si="4"/>
        <v>57.524000000000001</v>
      </c>
      <c r="R68">
        <f t="shared" si="5"/>
        <v>57.038000000000004</v>
      </c>
      <c r="S68">
        <f t="shared" si="6"/>
        <v>57.2</v>
      </c>
    </row>
    <row r="69" spans="1:19" x14ac:dyDescent="0.25">
      <c r="A69">
        <v>1942</v>
      </c>
      <c r="B69">
        <v>0.05</v>
      </c>
      <c r="C69">
        <v>0.09</v>
      </c>
      <c r="D69">
        <f t="shared" si="0"/>
        <v>57.290000000000006</v>
      </c>
      <c r="E69">
        <v>1942</v>
      </c>
      <c r="F69">
        <v>57.166507143282551</v>
      </c>
      <c r="G69">
        <f t="shared" si="1"/>
        <v>57.20000000000001</v>
      </c>
      <c r="L69">
        <v>1942</v>
      </c>
      <c r="M69">
        <v>0.05</v>
      </c>
      <c r="N69">
        <v>-0.08</v>
      </c>
      <c r="O69">
        <f t="shared" si="2"/>
        <v>9.0000000000000011E-2</v>
      </c>
      <c r="P69">
        <f t="shared" si="3"/>
        <v>-0.14400000000000002</v>
      </c>
      <c r="Q69">
        <f t="shared" si="4"/>
        <v>57.290000000000006</v>
      </c>
      <c r="R69">
        <f t="shared" si="5"/>
        <v>57.056000000000004</v>
      </c>
      <c r="S69">
        <f t="shared" si="6"/>
        <v>57.2</v>
      </c>
    </row>
    <row r="70" spans="1:19" x14ac:dyDescent="0.25">
      <c r="A70">
        <v>1943</v>
      </c>
      <c r="B70">
        <v>7.0000000000000007E-2</v>
      </c>
      <c r="C70">
        <v>0.09</v>
      </c>
      <c r="D70">
        <f t="shared" si="0"/>
        <v>57.326000000000001</v>
      </c>
      <c r="E70">
        <v>1943</v>
      </c>
      <c r="F70">
        <v>57.175291158258588</v>
      </c>
      <c r="G70">
        <f t="shared" si="1"/>
        <v>57.20000000000001</v>
      </c>
      <c r="L70">
        <v>1943</v>
      </c>
      <c r="M70">
        <v>7.0000000000000007E-2</v>
      </c>
      <c r="N70">
        <v>-0.08</v>
      </c>
      <c r="O70">
        <f t="shared" si="2"/>
        <v>0.12600000000000003</v>
      </c>
      <c r="P70">
        <f t="shared" si="3"/>
        <v>-0.14400000000000002</v>
      </c>
      <c r="Q70">
        <f t="shared" si="4"/>
        <v>57.326000000000001</v>
      </c>
      <c r="R70">
        <f t="shared" si="5"/>
        <v>57.056000000000004</v>
      </c>
      <c r="S70">
        <f t="shared" si="6"/>
        <v>57.2</v>
      </c>
    </row>
    <row r="71" spans="1:19" x14ac:dyDescent="0.25">
      <c r="A71">
        <v>1944</v>
      </c>
      <c r="B71">
        <v>0.21</v>
      </c>
      <c r="C71">
        <v>7.0000000000000007E-2</v>
      </c>
      <c r="D71">
        <f t="shared" si="0"/>
        <v>57.578000000000003</v>
      </c>
      <c r="E71">
        <v>1944</v>
      </c>
      <c r="F71">
        <v>57.180945375734787</v>
      </c>
      <c r="G71">
        <f t="shared" si="1"/>
        <v>57.20000000000001</v>
      </c>
      <c r="L71">
        <v>1944</v>
      </c>
      <c r="M71">
        <v>0.2</v>
      </c>
      <c r="N71">
        <v>-7.0000000000000007E-2</v>
      </c>
      <c r="O71">
        <f t="shared" si="2"/>
        <v>0.36000000000000004</v>
      </c>
      <c r="P71">
        <f t="shared" si="3"/>
        <v>-0.12600000000000003</v>
      </c>
      <c r="Q71">
        <f t="shared" si="4"/>
        <v>57.56</v>
      </c>
      <c r="R71">
        <f t="shared" si="5"/>
        <v>57.074000000000005</v>
      </c>
      <c r="S71">
        <f t="shared" si="6"/>
        <v>57.2</v>
      </c>
    </row>
    <row r="72" spans="1:19" x14ac:dyDescent="0.25">
      <c r="A72">
        <v>1945</v>
      </c>
      <c r="B72">
        <v>0.09</v>
      </c>
      <c r="C72">
        <v>0.03</v>
      </c>
      <c r="D72">
        <f t="shared" ref="D72:D135" si="7">+B72*$C$5+$D$5</f>
        <v>57.362000000000002</v>
      </c>
      <c r="E72">
        <v>1945</v>
      </c>
      <c r="F72">
        <v>57.183169329937193</v>
      </c>
      <c r="G72">
        <f t="shared" ref="G72:G135" si="8">+AVERAGE($D$78:$D$107)</f>
        <v>57.20000000000001</v>
      </c>
      <c r="L72">
        <v>1945</v>
      </c>
      <c r="M72">
        <v>0.08</v>
      </c>
      <c r="N72">
        <v>-7.0000000000000007E-2</v>
      </c>
      <c r="O72">
        <f t="shared" ref="O72:O135" si="9">+M72*$C$5</f>
        <v>0.14400000000000002</v>
      </c>
      <c r="P72">
        <f t="shared" ref="P72:P135" si="10">+N72*$C$5</f>
        <v>-0.12600000000000003</v>
      </c>
      <c r="Q72">
        <f t="shared" ref="Q72:Q135" si="11">+O72+$D$5</f>
        <v>57.344000000000001</v>
      </c>
      <c r="R72">
        <f t="shared" ref="R72:R135" si="12">+P72+$D$5</f>
        <v>57.074000000000005</v>
      </c>
      <c r="S72">
        <f t="shared" ref="S72:S135" si="13">+$D$5</f>
        <v>57.2</v>
      </c>
    </row>
    <row r="73" spans="1:19" x14ac:dyDescent="0.25">
      <c r="A73">
        <v>1946</v>
      </c>
      <c r="B73">
        <v>-7.0000000000000007E-2</v>
      </c>
      <c r="C73">
        <v>0</v>
      </c>
      <c r="D73">
        <f t="shared" si="7"/>
        <v>57.074000000000005</v>
      </c>
      <c r="E73">
        <v>1946</v>
      </c>
      <c r="F73">
        <v>57.181845174974335</v>
      </c>
      <c r="G73">
        <f t="shared" si="8"/>
        <v>57.20000000000001</v>
      </c>
      <c r="L73">
        <v>1946</v>
      </c>
      <c r="M73">
        <v>-7.0000000000000007E-2</v>
      </c>
      <c r="N73">
        <v>-0.06</v>
      </c>
      <c r="O73">
        <f t="shared" si="9"/>
        <v>-0.12600000000000003</v>
      </c>
      <c r="P73">
        <f t="shared" si="10"/>
        <v>-0.108</v>
      </c>
      <c r="Q73">
        <f t="shared" si="11"/>
        <v>57.074000000000005</v>
      </c>
      <c r="R73">
        <f t="shared" si="12"/>
        <v>57.092000000000006</v>
      </c>
      <c r="S73">
        <f t="shared" si="13"/>
        <v>57.2</v>
      </c>
    </row>
    <row r="74" spans="1:19" x14ac:dyDescent="0.25">
      <c r="A74">
        <v>1947</v>
      </c>
      <c r="B74">
        <v>-0.04</v>
      </c>
      <c r="C74">
        <v>-0.04</v>
      </c>
      <c r="D74">
        <f t="shared" si="7"/>
        <v>57.128</v>
      </c>
      <c r="E74">
        <v>1947</v>
      </c>
      <c r="F74">
        <v>57.1772652470708</v>
      </c>
      <c r="G74">
        <f t="shared" si="8"/>
        <v>57.20000000000001</v>
      </c>
      <c r="L74">
        <v>1947</v>
      </c>
      <c r="M74">
        <v>-0.04</v>
      </c>
      <c r="N74">
        <v>-0.06</v>
      </c>
      <c r="O74">
        <f t="shared" si="9"/>
        <v>-7.2000000000000008E-2</v>
      </c>
      <c r="P74">
        <f t="shared" si="10"/>
        <v>-0.108</v>
      </c>
      <c r="Q74">
        <f t="shared" si="11"/>
        <v>57.128</v>
      </c>
      <c r="R74">
        <f t="shared" si="12"/>
        <v>57.092000000000006</v>
      </c>
      <c r="S74">
        <f t="shared" si="13"/>
        <v>57.2</v>
      </c>
    </row>
    <row r="75" spans="1:19" x14ac:dyDescent="0.25">
      <c r="A75">
        <v>1948</v>
      </c>
      <c r="B75">
        <v>-0.11</v>
      </c>
      <c r="C75">
        <v>-7.0000000000000007E-2</v>
      </c>
      <c r="D75">
        <f t="shared" si="7"/>
        <v>57.002000000000002</v>
      </c>
      <c r="E75">
        <v>1948</v>
      </c>
      <c r="F75">
        <v>57.170137945482907</v>
      </c>
      <c r="G75">
        <f t="shared" si="8"/>
        <v>57.20000000000001</v>
      </c>
      <c r="L75">
        <v>1948</v>
      </c>
      <c r="M75">
        <v>-0.11</v>
      </c>
      <c r="N75">
        <v>-0.05</v>
      </c>
      <c r="O75">
        <f t="shared" si="9"/>
        <v>-0.19800000000000001</v>
      </c>
      <c r="P75">
        <f t="shared" si="10"/>
        <v>-9.0000000000000011E-2</v>
      </c>
      <c r="Q75">
        <f t="shared" si="11"/>
        <v>57.002000000000002</v>
      </c>
      <c r="R75">
        <f t="shared" si="12"/>
        <v>57.11</v>
      </c>
      <c r="S75">
        <f t="shared" si="13"/>
        <v>57.2</v>
      </c>
    </row>
    <row r="76" spans="1:19" x14ac:dyDescent="0.25">
      <c r="A76">
        <v>1949</v>
      </c>
      <c r="B76">
        <v>-0.11</v>
      </c>
      <c r="C76">
        <v>-0.09</v>
      </c>
      <c r="D76">
        <f t="shared" si="7"/>
        <v>57.002000000000002</v>
      </c>
      <c r="E76">
        <v>1949</v>
      </c>
      <c r="F76">
        <v>57.161329470455364</v>
      </c>
      <c r="G76">
        <f t="shared" si="8"/>
        <v>57.20000000000001</v>
      </c>
      <c r="L76">
        <v>1949</v>
      </c>
      <c r="M76">
        <v>-0.11</v>
      </c>
      <c r="N76">
        <v>-0.05</v>
      </c>
      <c r="O76">
        <f t="shared" si="9"/>
        <v>-0.19800000000000001</v>
      </c>
      <c r="P76">
        <f t="shared" si="10"/>
        <v>-9.0000000000000011E-2</v>
      </c>
      <c r="Q76">
        <f t="shared" si="11"/>
        <v>57.002000000000002</v>
      </c>
      <c r="R76">
        <f t="shared" si="12"/>
        <v>57.11</v>
      </c>
      <c r="S76">
        <f t="shared" si="13"/>
        <v>57.2</v>
      </c>
    </row>
    <row r="77" spans="1:19" x14ac:dyDescent="0.25">
      <c r="A77">
        <v>1950</v>
      </c>
      <c r="B77">
        <v>-0.19</v>
      </c>
      <c r="C77">
        <v>-0.08</v>
      </c>
      <c r="D77">
        <f t="shared" si="7"/>
        <v>56.858000000000004</v>
      </c>
      <c r="E77">
        <v>1950</v>
      </c>
      <c r="F77">
        <v>57.15210623521638</v>
      </c>
      <c r="G77">
        <f t="shared" si="8"/>
        <v>57.20000000000001</v>
      </c>
      <c r="L77">
        <v>1950</v>
      </c>
      <c r="M77">
        <v>-0.18</v>
      </c>
      <c r="N77">
        <v>-0.04</v>
      </c>
      <c r="O77">
        <f t="shared" si="9"/>
        <v>-0.32400000000000001</v>
      </c>
      <c r="P77">
        <f t="shared" si="10"/>
        <v>-7.2000000000000008E-2</v>
      </c>
      <c r="Q77">
        <f t="shared" si="11"/>
        <v>56.876000000000005</v>
      </c>
      <c r="R77">
        <f t="shared" si="12"/>
        <v>57.128</v>
      </c>
      <c r="S77">
        <f t="shared" si="13"/>
        <v>57.2</v>
      </c>
    </row>
    <row r="78" spans="1:19" x14ac:dyDescent="0.25">
      <c r="A78">
        <v>1951</v>
      </c>
      <c r="B78">
        <v>-7.0000000000000007E-2</v>
      </c>
      <c r="C78">
        <v>-0.08</v>
      </c>
      <c r="D78">
        <f t="shared" si="7"/>
        <v>57.074000000000005</v>
      </c>
      <c r="E78">
        <v>1951</v>
      </c>
      <c r="F78">
        <v>57.143659167225017</v>
      </c>
      <c r="G78">
        <f t="shared" si="8"/>
        <v>57.20000000000001</v>
      </c>
      <c r="L78">
        <v>1951</v>
      </c>
      <c r="M78">
        <v>-7.0000000000000007E-2</v>
      </c>
      <c r="N78">
        <v>-0.04</v>
      </c>
      <c r="O78">
        <f t="shared" si="9"/>
        <v>-0.12600000000000003</v>
      </c>
      <c r="P78">
        <f t="shared" si="10"/>
        <v>-7.2000000000000008E-2</v>
      </c>
      <c r="Q78">
        <f t="shared" si="11"/>
        <v>57.074000000000005</v>
      </c>
      <c r="R78">
        <f t="shared" si="12"/>
        <v>57.128</v>
      </c>
      <c r="S78">
        <f t="shared" si="13"/>
        <v>57.2</v>
      </c>
    </row>
    <row r="79" spans="1:19" x14ac:dyDescent="0.25">
      <c r="A79">
        <v>1952</v>
      </c>
      <c r="B79">
        <v>0.01</v>
      </c>
      <c r="C79">
        <v>-0.08</v>
      </c>
      <c r="D79">
        <f t="shared" si="7"/>
        <v>57.218000000000004</v>
      </c>
      <c r="E79">
        <v>1952</v>
      </c>
      <c r="F79">
        <v>57.13635927270532</v>
      </c>
      <c r="G79">
        <f t="shared" si="8"/>
        <v>57.20000000000001</v>
      </c>
      <c r="L79">
        <v>1952</v>
      </c>
      <c r="M79">
        <v>0.01</v>
      </c>
      <c r="N79">
        <v>-0.04</v>
      </c>
      <c r="O79">
        <f t="shared" si="9"/>
        <v>1.8000000000000002E-2</v>
      </c>
      <c r="P79">
        <f t="shared" si="10"/>
        <v>-7.2000000000000008E-2</v>
      </c>
      <c r="Q79">
        <f t="shared" si="11"/>
        <v>57.218000000000004</v>
      </c>
      <c r="R79">
        <f t="shared" si="12"/>
        <v>57.128</v>
      </c>
      <c r="S79">
        <f t="shared" si="13"/>
        <v>57.2</v>
      </c>
    </row>
    <row r="80" spans="1:19" x14ac:dyDescent="0.25">
      <c r="A80">
        <v>1953</v>
      </c>
      <c r="B80">
        <v>7.0000000000000007E-2</v>
      </c>
      <c r="C80">
        <v>-0.08</v>
      </c>
      <c r="D80">
        <f t="shared" si="7"/>
        <v>57.326000000000001</v>
      </c>
      <c r="E80">
        <v>1953</v>
      </c>
      <c r="F80">
        <v>57.130555864048752</v>
      </c>
      <c r="G80">
        <f t="shared" si="8"/>
        <v>57.20000000000001</v>
      </c>
      <c r="L80">
        <v>1953</v>
      </c>
      <c r="M80">
        <v>7.0000000000000007E-2</v>
      </c>
      <c r="N80">
        <v>-0.03</v>
      </c>
      <c r="O80">
        <f t="shared" si="9"/>
        <v>0.12600000000000003</v>
      </c>
      <c r="P80">
        <f t="shared" si="10"/>
        <v>-5.3999999999999999E-2</v>
      </c>
      <c r="Q80">
        <f t="shared" si="11"/>
        <v>57.326000000000001</v>
      </c>
      <c r="R80">
        <f t="shared" si="12"/>
        <v>57.146000000000001</v>
      </c>
      <c r="S80">
        <f t="shared" si="13"/>
        <v>57.2</v>
      </c>
    </row>
    <row r="81" spans="1:19" x14ac:dyDescent="0.25">
      <c r="A81">
        <v>1954</v>
      </c>
      <c r="B81">
        <v>-0.15</v>
      </c>
      <c r="C81">
        <v>-7.0000000000000007E-2</v>
      </c>
      <c r="D81">
        <f t="shared" si="7"/>
        <v>56.93</v>
      </c>
      <c r="E81">
        <v>1954</v>
      </c>
      <c r="F81">
        <v>57.126661728398084</v>
      </c>
      <c r="G81">
        <f t="shared" si="8"/>
        <v>57.20000000000001</v>
      </c>
      <c r="L81">
        <v>1954</v>
      </c>
      <c r="M81">
        <v>-0.15</v>
      </c>
      <c r="N81">
        <v>-0.03</v>
      </c>
      <c r="O81">
        <f t="shared" si="9"/>
        <v>-0.27</v>
      </c>
      <c r="P81">
        <f t="shared" si="10"/>
        <v>-5.3999999999999999E-2</v>
      </c>
      <c r="Q81">
        <f t="shared" si="11"/>
        <v>56.93</v>
      </c>
      <c r="R81">
        <f t="shared" si="12"/>
        <v>57.146000000000001</v>
      </c>
      <c r="S81">
        <f t="shared" si="13"/>
        <v>57.2</v>
      </c>
    </row>
    <row r="82" spans="1:19" x14ac:dyDescent="0.25">
      <c r="A82">
        <v>1955</v>
      </c>
      <c r="B82">
        <v>-0.14000000000000001</v>
      </c>
      <c r="C82">
        <v>-0.06</v>
      </c>
      <c r="D82">
        <f t="shared" si="7"/>
        <v>56.948</v>
      </c>
      <c r="E82">
        <v>1955</v>
      </c>
      <c r="F82">
        <v>57.124681642486031</v>
      </c>
      <c r="G82">
        <f t="shared" si="8"/>
        <v>57.20000000000001</v>
      </c>
      <c r="L82">
        <v>1955</v>
      </c>
      <c r="M82">
        <v>-0.15</v>
      </c>
      <c r="N82">
        <v>-0.02</v>
      </c>
      <c r="O82">
        <f t="shared" si="9"/>
        <v>-0.27</v>
      </c>
      <c r="P82">
        <f t="shared" si="10"/>
        <v>-3.6000000000000004E-2</v>
      </c>
      <c r="Q82">
        <f t="shared" si="11"/>
        <v>56.93</v>
      </c>
      <c r="R82">
        <f t="shared" si="12"/>
        <v>57.164000000000001</v>
      </c>
      <c r="S82">
        <f t="shared" si="13"/>
        <v>57.2</v>
      </c>
    </row>
    <row r="83" spans="1:19" x14ac:dyDescent="0.25">
      <c r="A83">
        <v>1956</v>
      </c>
      <c r="B83">
        <v>-0.2</v>
      </c>
      <c r="C83">
        <v>-0.05</v>
      </c>
      <c r="D83">
        <f t="shared" si="7"/>
        <v>56.84</v>
      </c>
      <c r="E83">
        <v>1956</v>
      </c>
      <c r="F83">
        <v>57.124497873600205</v>
      </c>
      <c r="G83">
        <f t="shared" si="8"/>
        <v>57.20000000000001</v>
      </c>
      <c r="L83">
        <v>1956</v>
      </c>
      <c r="M83">
        <v>-0.21</v>
      </c>
      <c r="N83">
        <v>-0.02</v>
      </c>
      <c r="O83">
        <f t="shared" si="9"/>
        <v>-0.378</v>
      </c>
      <c r="P83">
        <f t="shared" si="10"/>
        <v>-3.6000000000000004E-2</v>
      </c>
      <c r="Q83">
        <f t="shared" si="11"/>
        <v>56.822000000000003</v>
      </c>
      <c r="R83">
        <f t="shared" si="12"/>
        <v>57.164000000000001</v>
      </c>
      <c r="S83">
        <f t="shared" si="13"/>
        <v>57.2</v>
      </c>
    </row>
    <row r="84" spans="1:19" x14ac:dyDescent="0.25">
      <c r="A84">
        <v>1957</v>
      </c>
      <c r="B84">
        <v>0.04</v>
      </c>
      <c r="C84">
        <v>-0.04</v>
      </c>
      <c r="D84">
        <f t="shared" si="7"/>
        <v>57.272000000000006</v>
      </c>
      <c r="E84">
        <v>1957</v>
      </c>
      <c r="F84">
        <v>57.126502417318193</v>
      </c>
      <c r="G84">
        <f t="shared" si="8"/>
        <v>57.20000000000001</v>
      </c>
      <c r="L84">
        <v>1957</v>
      </c>
      <c r="M84">
        <v>0.05</v>
      </c>
      <c r="N84">
        <v>-0.02</v>
      </c>
      <c r="O84">
        <f t="shared" si="9"/>
        <v>9.0000000000000011E-2</v>
      </c>
      <c r="P84">
        <f t="shared" si="10"/>
        <v>-3.6000000000000004E-2</v>
      </c>
      <c r="Q84">
        <f t="shared" si="11"/>
        <v>57.290000000000006</v>
      </c>
      <c r="R84">
        <f t="shared" si="12"/>
        <v>57.164000000000001</v>
      </c>
      <c r="S84">
        <f t="shared" si="13"/>
        <v>57.2</v>
      </c>
    </row>
    <row r="85" spans="1:19" x14ac:dyDescent="0.25">
      <c r="A85">
        <v>1958</v>
      </c>
      <c r="B85">
        <v>7.0000000000000007E-2</v>
      </c>
      <c r="C85">
        <v>-0.01</v>
      </c>
      <c r="D85">
        <f t="shared" si="7"/>
        <v>57.326000000000001</v>
      </c>
      <c r="E85">
        <v>1958</v>
      </c>
      <c r="F85">
        <v>57.130687244159525</v>
      </c>
      <c r="G85">
        <f t="shared" si="8"/>
        <v>57.20000000000001</v>
      </c>
      <c r="L85">
        <v>1958</v>
      </c>
      <c r="M85">
        <v>0.08</v>
      </c>
      <c r="N85">
        <v>-0.01</v>
      </c>
      <c r="O85">
        <f t="shared" si="9"/>
        <v>0.14400000000000002</v>
      </c>
      <c r="P85">
        <f t="shared" si="10"/>
        <v>-1.8000000000000002E-2</v>
      </c>
      <c r="Q85">
        <f t="shared" si="11"/>
        <v>57.344000000000001</v>
      </c>
      <c r="R85">
        <f t="shared" si="12"/>
        <v>57.182000000000002</v>
      </c>
      <c r="S85">
        <f t="shared" si="13"/>
        <v>57.2</v>
      </c>
    </row>
    <row r="86" spans="1:19" x14ac:dyDescent="0.25">
      <c r="A86">
        <v>1959</v>
      </c>
      <c r="B86">
        <v>0.03</v>
      </c>
      <c r="C86">
        <v>0.02</v>
      </c>
      <c r="D86">
        <f t="shared" si="7"/>
        <v>57.254000000000005</v>
      </c>
      <c r="E86">
        <v>1959</v>
      </c>
      <c r="F86">
        <v>57.136034636986217</v>
      </c>
      <c r="G86">
        <f t="shared" si="8"/>
        <v>57.20000000000001</v>
      </c>
      <c r="L86">
        <v>1959</v>
      </c>
      <c r="M86">
        <v>0.03</v>
      </c>
      <c r="N86">
        <v>-0.01</v>
      </c>
      <c r="O86">
        <f t="shared" si="9"/>
        <v>5.3999999999999999E-2</v>
      </c>
      <c r="P86">
        <f t="shared" si="10"/>
        <v>-1.8000000000000002E-2</v>
      </c>
      <c r="Q86">
        <f t="shared" si="11"/>
        <v>57.254000000000005</v>
      </c>
      <c r="R86">
        <f t="shared" si="12"/>
        <v>57.182000000000002</v>
      </c>
      <c r="S86">
        <f t="shared" si="13"/>
        <v>57.2</v>
      </c>
    </row>
    <row r="87" spans="1:19" x14ac:dyDescent="0.25">
      <c r="A87">
        <v>1960</v>
      </c>
      <c r="B87">
        <v>-0.02</v>
      </c>
      <c r="C87">
        <v>0.03</v>
      </c>
      <c r="D87">
        <f t="shared" si="7"/>
        <v>57.164000000000001</v>
      </c>
      <c r="E87">
        <v>1960</v>
      </c>
      <c r="F87">
        <v>57.14185585887401</v>
      </c>
      <c r="G87">
        <f t="shared" si="8"/>
        <v>57.20000000000001</v>
      </c>
      <c r="L87">
        <v>1960</v>
      </c>
      <c r="M87">
        <v>-0.02</v>
      </c>
      <c r="N87">
        <v>-0.01</v>
      </c>
      <c r="O87">
        <f t="shared" si="9"/>
        <v>-3.6000000000000004E-2</v>
      </c>
      <c r="P87">
        <f t="shared" si="10"/>
        <v>-1.8000000000000002E-2</v>
      </c>
      <c r="Q87">
        <f t="shared" si="11"/>
        <v>57.164000000000001</v>
      </c>
      <c r="R87">
        <f t="shared" si="12"/>
        <v>57.182000000000002</v>
      </c>
      <c r="S87">
        <f t="shared" si="13"/>
        <v>57.2</v>
      </c>
    </row>
    <row r="88" spans="1:19" x14ac:dyDescent="0.25">
      <c r="A88">
        <v>1961</v>
      </c>
      <c r="B88">
        <v>0.06</v>
      </c>
      <c r="C88">
        <v>0.02</v>
      </c>
      <c r="D88">
        <f t="shared" si="7"/>
        <v>57.308</v>
      </c>
      <c r="E88">
        <v>1961</v>
      </c>
      <c r="F88">
        <v>57.148190117583837</v>
      </c>
      <c r="G88">
        <f t="shared" si="8"/>
        <v>57.20000000000001</v>
      </c>
      <c r="L88">
        <v>1961</v>
      </c>
      <c r="M88">
        <v>0.06</v>
      </c>
      <c r="N88">
        <v>0</v>
      </c>
      <c r="O88">
        <f t="shared" si="9"/>
        <v>0.108</v>
      </c>
      <c r="P88">
        <f t="shared" si="10"/>
        <v>0</v>
      </c>
      <c r="Q88">
        <f t="shared" si="11"/>
        <v>57.308</v>
      </c>
      <c r="R88">
        <f t="shared" si="12"/>
        <v>57.2</v>
      </c>
      <c r="S88">
        <f t="shared" si="13"/>
        <v>57.2</v>
      </c>
    </row>
    <row r="89" spans="1:19" x14ac:dyDescent="0.25">
      <c r="A89">
        <v>1962</v>
      </c>
      <c r="B89">
        <v>0.04</v>
      </c>
      <c r="C89">
        <v>0</v>
      </c>
      <c r="D89">
        <f t="shared" si="7"/>
        <v>57.272000000000006</v>
      </c>
      <c r="E89">
        <v>1962</v>
      </c>
      <c r="F89">
        <v>57.154668276313963</v>
      </c>
      <c r="G89">
        <f t="shared" si="8"/>
        <v>57.20000000000001</v>
      </c>
      <c r="L89">
        <v>1962</v>
      </c>
      <c r="M89">
        <v>0.05</v>
      </c>
      <c r="N89">
        <v>0</v>
      </c>
      <c r="O89">
        <f t="shared" si="9"/>
        <v>9.0000000000000011E-2</v>
      </c>
      <c r="P89">
        <f t="shared" si="10"/>
        <v>0</v>
      </c>
      <c r="Q89">
        <f t="shared" si="11"/>
        <v>57.290000000000006</v>
      </c>
      <c r="R89">
        <f t="shared" si="12"/>
        <v>57.2</v>
      </c>
      <c r="S89">
        <f t="shared" si="13"/>
        <v>57.2</v>
      </c>
    </row>
    <row r="90" spans="1:19" x14ac:dyDescent="0.25">
      <c r="A90">
        <v>1963</v>
      </c>
      <c r="B90">
        <v>7.0000000000000007E-2</v>
      </c>
      <c r="C90">
        <v>-0.02</v>
      </c>
      <c r="D90">
        <f t="shared" si="7"/>
        <v>57.326000000000001</v>
      </c>
      <c r="E90">
        <v>1963</v>
      </c>
      <c r="F90">
        <v>57.160816012226974</v>
      </c>
      <c r="G90">
        <f t="shared" si="8"/>
        <v>57.20000000000001</v>
      </c>
      <c r="L90">
        <v>1963</v>
      </c>
      <c r="M90">
        <v>7.0000000000000007E-2</v>
      </c>
      <c r="N90">
        <v>0.01</v>
      </c>
      <c r="O90">
        <f t="shared" si="9"/>
        <v>0.12600000000000003</v>
      </c>
      <c r="P90">
        <f t="shared" si="10"/>
        <v>1.8000000000000002E-2</v>
      </c>
      <c r="Q90">
        <f t="shared" si="11"/>
        <v>57.326000000000001</v>
      </c>
      <c r="R90">
        <f t="shared" si="12"/>
        <v>57.218000000000004</v>
      </c>
      <c r="S90">
        <f t="shared" si="13"/>
        <v>57.2</v>
      </c>
    </row>
    <row r="91" spans="1:19" x14ac:dyDescent="0.25">
      <c r="A91">
        <v>1964</v>
      </c>
      <c r="B91">
        <v>-0.2</v>
      </c>
      <c r="C91">
        <v>-0.03</v>
      </c>
      <c r="D91">
        <f t="shared" si="7"/>
        <v>56.84</v>
      </c>
      <c r="E91">
        <v>1964</v>
      </c>
      <c r="F91">
        <v>57.166212187698612</v>
      </c>
      <c r="G91">
        <f t="shared" si="8"/>
        <v>57.20000000000001</v>
      </c>
      <c r="L91">
        <v>1964</v>
      </c>
      <c r="M91">
        <v>-0.2</v>
      </c>
      <c r="N91">
        <v>0.01</v>
      </c>
      <c r="O91">
        <f t="shared" si="9"/>
        <v>-0.36000000000000004</v>
      </c>
      <c r="P91">
        <f t="shared" si="10"/>
        <v>1.8000000000000002E-2</v>
      </c>
      <c r="Q91">
        <f t="shared" si="11"/>
        <v>56.84</v>
      </c>
      <c r="R91">
        <f t="shared" si="12"/>
        <v>57.218000000000004</v>
      </c>
      <c r="S91">
        <f t="shared" si="13"/>
        <v>57.2</v>
      </c>
    </row>
    <row r="92" spans="1:19" x14ac:dyDescent="0.25">
      <c r="A92">
        <v>1965</v>
      </c>
      <c r="B92">
        <v>-0.1</v>
      </c>
      <c r="C92">
        <v>-0.04</v>
      </c>
      <c r="D92">
        <f t="shared" si="7"/>
        <v>57.02</v>
      </c>
      <c r="E92">
        <v>1965</v>
      </c>
      <c r="F92">
        <v>57.171124694398799</v>
      </c>
      <c r="G92">
        <f t="shared" si="8"/>
        <v>57.20000000000001</v>
      </c>
      <c r="L92">
        <v>1965</v>
      </c>
      <c r="M92">
        <v>-0.11</v>
      </c>
      <c r="N92">
        <v>0.02</v>
      </c>
      <c r="O92">
        <f t="shared" si="9"/>
        <v>-0.19800000000000001</v>
      </c>
      <c r="P92">
        <f t="shared" si="10"/>
        <v>3.6000000000000004E-2</v>
      </c>
      <c r="Q92">
        <f t="shared" si="11"/>
        <v>57.002000000000002</v>
      </c>
      <c r="R92">
        <f t="shared" si="12"/>
        <v>57.236000000000004</v>
      </c>
      <c r="S92">
        <f t="shared" si="13"/>
        <v>57.2</v>
      </c>
    </row>
    <row r="93" spans="1:19" x14ac:dyDescent="0.25">
      <c r="A93">
        <v>1966</v>
      </c>
      <c r="B93">
        <v>-0.05</v>
      </c>
      <c r="C93">
        <v>-0.05</v>
      </c>
      <c r="D93">
        <f t="shared" si="7"/>
        <v>57.11</v>
      </c>
      <c r="E93">
        <v>1966</v>
      </c>
      <c r="F93">
        <v>57.175699103756692</v>
      </c>
      <c r="G93">
        <f t="shared" si="8"/>
        <v>57.20000000000001</v>
      </c>
      <c r="L93">
        <v>1966</v>
      </c>
      <c r="M93">
        <v>-0.05</v>
      </c>
      <c r="N93">
        <v>0.03</v>
      </c>
      <c r="O93">
        <f t="shared" si="9"/>
        <v>-9.0000000000000011E-2</v>
      </c>
      <c r="P93">
        <f t="shared" si="10"/>
        <v>5.3999999999999999E-2</v>
      </c>
      <c r="Q93">
        <f t="shared" si="11"/>
        <v>57.11</v>
      </c>
      <c r="R93">
        <f t="shared" si="12"/>
        <v>57.254000000000005</v>
      </c>
      <c r="S93">
        <f t="shared" si="13"/>
        <v>57.2</v>
      </c>
    </row>
    <row r="94" spans="1:19" x14ac:dyDescent="0.25">
      <c r="A94">
        <v>1967</v>
      </c>
      <c r="B94">
        <v>-0.02</v>
      </c>
      <c r="C94">
        <v>-0.04</v>
      </c>
      <c r="D94">
        <f t="shared" si="7"/>
        <v>57.164000000000001</v>
      </c>
      <c r="E94">
        <v>1967</v>
      </c>
      <c r="F94">
        <v>57.180171939343538</v>
      </c>
      <c r="G94">
        <f t="shared" si="8"/>
        <v>57.20000000000001</v>
      </c>
      <c r="L94">
        <v>1967</v>
      </c>
      <c r="M94">
        <v>-0.02</v>
      </c>
      <c r="N94">
        <v>0.04</v>
      </c>
      <c r="O94">
        <f t="shared" si="9"/>
        <v>-3.6000000000000004E-2</v>
      </c>
      <c r="P94">
        <f t="shared" si="10"/>
        <v>7.2000000000000008E-2</v>
      </c>
      <c r="Q94">
        <f t="shared" si="11"/>
        <v>57.164000000000001</v>
      </c>
      <c r="R94">
        <f t="shared" si="12"/>
        <v>57.272000000000006</v>
      </c>
      <c r="S94">
        <f t="shared" si="13"/>
        <v>57.2</v>
      </c>
    </row>
    <row r="95" spans="1:19" x14ac:dyDescent="0.25">
      <c r="A95">
        <v>1968</v>
      </c>
      <c r="B95">
        <v>-7.0000000000000007E-2</v>
      </c>
      <c r="C95">
        <v>-0.03</v>
      </c>
      <c r="D95">
        <f t="shared" si="7"/>
        <v>57.074000000000005</v>
      </c>
      <c r="E95">
        <v>1968</v>
      </c>
      <c r="F95">
        <v>57.185459239943505</v>
      </c>
      <c r="G95">
        <f t="shared" si="8"/>
        <v>57.20000000000001</v>
      </c>
      <c r="L95">
        <v>1968</v>
      </c>
      <c r="M95">
        <v>-7.0000000000000007E-2</v>
      </c>
      <c r="N95">
        <v>0.04</v>
      </c>
      <c r="O95">
        <f t="shared" si="9"/>
        <v>-0.12600000000000003</v>
      </c>
      <c r="P95">
        <f t="shared" si="10"/>
        <v>7.2000000000000008E-2</v>
      </c>
      <c r="Q95">
        <f t="shared" si="11"/>
        <v>57.074000000000005</v>
      </c>
      <c r="R95">
        <f t="shared" si="12"/>
        <v>57.272000000000006</v>
      </c>
      <c r="S95">
        <f t="shared" si="13"/>
        <v>57.2</v>
      </c>
    </row>
    <row r="96" spans="1:19" x14ac:dyDescent="0.25">
      <c r="A96">
        <v>1969</v>
      </c>
      <c r="B96">
        <v>7.0000000000000007E-2</v>
      </c>
      <c r="C96">
        <v>-0.01</v>
      </c>
      <c r="D96">
        <f t="shared" si="7"/>
        <v>57.326000000000001</v>
      </c>
      <c r="E96">
        <v>1969</v>
      </c>
      <c r="F96">
        <v>57.19331962179556</v>
      </c>
      <c r="G96">
        <f t="shared" si="8"/>
        <v>57.20000000000001</v>
      </c>
      <c r="L96">
        <v>1969</v>
      </c>
      <c r="M96">
        <v>7.0000000000000007E-2</v>
      </c>
      <c r="N96">
        <v>0.05</v>
      </c>
      <c r="O96">
        <f t="shared" si="9"/>
        <v>0.12600000000000003</v>
      </c>
      <c r="P96">
        <f t="shared" si="10"/>
        <v>9.0000000000000011E-2</v>
      </c>
      <c r="Q96">
        <f t="shared" si="11"/>
        <v>57.326000000000001</v>
      </c>
      <c r="R96">
        <f t="shared" si="12"/>
        <v>57.290000000000006</v>
      </c>
      <c r="S96">
        <f t="shared" si="13"/>
        <v>57.2</v>
      </c>
    </row>
    <row r="97" spans="1:19" x14ac:dyDescent="0.25">
      <c r="A97">
        <v>1970</v>
      </c>
      <c r="B97">
        <v>0.03</v>
      </c>
      <c r="C97">
        <v>0</v>
      </c>
      <c r="D97">
        <f t="shared" si="7"/>
        <v>57.254000000000005</v>
      </c>
      <c r="E97">
        <v>1970</v>
      </c>
      <c r="F97">
        <v>57.205175267513937</v>
      </c>
      <c r="G97">
        <f t="shared" si="8"/>
        <v>57.20000000000001</v>
      </c>
      <c r="L97">
        <v>1970</v>
      </c>
      <c r="M97">
        <v>0.03</v>
      </c>
      <c r="N97">
        <v>0.06</v>
      </c>
      <c r="O97">
        <f t="shared" si="9"/>
        <v>5.3999999999999999E-2</v>
      </c>
      <c r="P97">
        <f t="shared" si="10"/>
        <v>0.108</v>
      </c>
      <c r="Q97">
        <f t="shared" si="11"/>
        <v>57.254000000000005</v>
      </c>
      <c r="R97">
        <f t="shared" si="12"/>
        <v>57.308</v>
      </c>
      <c r="S97">
        <f t="shared" si="13"/>
        <v>57.2</v>
      </c>
    </row>
    <row r="98" spans="1:19" x14ac:dyDescent="0.25">
      <c r="A98">
        <v>1971</v>
      </c>
      <c r="B98">
        <v>-0.09</v>
      </c>
      <c r="C98">
        <v>0</v>
      </c>
      <c r="D98">
        <f t="shared" si="7"/>
        <v>57.038000000000004</v>
      </c>
      <c r="E98">
        <v>1971</v>
      </c>
      <c r="F98">
        <v>57.22196256277612</v>
      </c>
      <c r="G98">
        <f t="shared" si="8"/>
        <v>57.20000000000001</v>
      </c>
      <c r="L98">
        <v>1971</v>
      </c>
      <c r="M98">
        <v>-0.09</v>
      </c>
      <c r="N98">
        <v>7.0000000000000007E-2</v>
      </c>
      <c r="O98">
        <f t="shared" si="9"/>
        <v>-0.16200000000000001</v>
      </c>
      <c r="P98">
        <f t="shared" si="10"/>
        <v>0.12600000000000003</v>
      </c>
      <c r="Q98">
        <f t="shared" si="11"/>
        <v>57.038000000000004</v>
      </c>
      <c r="R98">
        <f t="shared" si="12"/>
        <v>57.326000000000001</v>
      </c>
      <c r="S98">
        <f t="shared" si="13"/>
        <v>57.2</v>
      </c>
    </row>
    <row r="99" spans="1:19" x14ac:dyDescent="0.25">
      <c r="A99">
        <v>1972</v>
      </c>
      <c r="B99">
        <v>0.01</v>
      </c>
      <c r="C99">
        <v>0</v>
      </c>
      <c r="D99">
        <f t="shared" si="7"/>
        <v>57.218000000000004</v>
      </c>
      <c r="E99">
        <v>1972</v>
      </c>
      <c r="F99">
        <v>57.243128791596234</v>
      </c>
      <c r="G99">
        <f t="shared" si="8"/>
        <v>57.20000000000001</v>
      </c>
      <c r="L99">
        <v>1972</v>
      </c>
      <c r="M99">
        <v>0.01</v>
      </c>
      <c r="N99">
        <v>0.08</v>
      </c>
      <c r="O99">
        <f t="shared" si="9"/>
        <v>1.8000000000000002E-2</v>
      </c>
      <c r="P99">
        <f t="shared" si="10"/>
        <v>0.14400000000000002</v>
      </c>
      <c r="Q99">
        <f t="shared" si="11"/>
        <v>57.218000000000004</v>
      </c>
      <c r="R99">
        <f t="shared" si="12"/>
        <v>57.344000000000001</v>
      </c>
      <c r="S99">
        <f t="shared" si="13"/>
        <v>57.2</v>
      </c>
    </row>
    <row r="100" spans="1:19" x14ac:dyDescent="0.25">
      <c r="A100">
        <v>1973</v>
      </c>
      <c r="B100">
        <v>0.16</v>
      </c>
      <c r="C100">
        <v>-0.01</v>
      </c>
      <c r="D100">
        <f t="shared" si="7"/>
        <v>57.488</v>
      </c>
      <c r="E100">
        <v>1973</v>
      </c>
      <c r="F100">
        <v>57.267384680979781</v>
      </c>
      <c r="G100">
        <f t="shared" si="8"/>
        <v>57.20000000000001</v>
      </c>
      <c r="L100">
        <v>1973</v>
      </c>
      <c r="M100">
        <v>0.15</v>
      </c>
      <c r="N100">
        <v>0.09</v>
      </c>
      <c r="O100">
        <f t="shared" si="9"/>
        <v>0.27</v>
      </c>
      <c r="P100">
        <f t="shared" si="10"/>
        <v>0.16200000000000001</v>
      </c>
      <c r="Q100">
        <f t="shared" si="11"/>
        <v>57.470000000000006</v>
      </c>
      <c r="R100">
        <f t="shared" si="12"/>
        <v>57.362000000000002</v>
      </c>
      <c r="S100">
        <f t="shared" si="13"/>
        <v>57.2</v>
      </c>
    </row>
    <row r="101" spans="1:19" x14ac:dyDescent="0.25">
      <c r="A101">
        <v>1974</v>
      </c>
      <c r="B101">
        <v>-0.08</v>
      </c>
      <c r="C101">
        <v>0</v>
      </c>
      <c r="D101">
        <f t="shared" si="7"/>
        <v>57.056000000000004</v>
      </c>
      <c r="E101">
        <v>1974</v>
      </c>
      <c r="F101">
        <v>57.293600712629519</v>
      </c>
      <c r="G101">
        <f t="shared" si="8"/>
        <v>57.20000000000001</v>
      </c>
      <c r="L101">
        <v>1974</v>
      </c>
      <c r="M101">
        <v>-0.08</v>
      </c>
      <c r="N101">
        <v>0.1</v>
      </c>
      <c r="O101">
        <f t="shared" si="9"/>
        <v>-0.14400000000000002</v>
      </c>
      <c r="P101">
        <f t="shared" si="10"/>
        <v>0.18000000000000002</v>
      </c>
      <c r="Q101">
        <f t="shared" si="11"/>
        <v>57.056000000000004</v>
      </c>
      <c r="R101">
        <f t="shared" si="12"/>
        <v>57.38</v>
      </c>
      <c r="S101">
        <f t="shared" si="13"/>
        <v>57.2</v>
      </c>
    </row>
    <row r="102" spans="1:19" x14ac:dyDescent="0.25">
      <c r="A102">
        <v>1975</v>
      </c>
      <c r="B102">
        <v>-0.02</v>
      </c>
      <c r="C102">
        <v>0.01</v>
      </c>
      <c r="D102">
        <f t="shared" si="7"/>
        <v>57.164000000000001</v>
      </c>
      <c r="E102">
        <v>1975</v>
      </c>
      <c r="F102">
        <v>57.321134351130887</v>
      </c>
      <c r="G102">
        <f t="shared" si="8"/>
        <v>57.20000000000001</v>
      </c>
      <c r="L102">
        <v>1975</v>
      </c>
      <c r="M102">
        <v>-0.01</v>
      </c>
      <c r="N102">
        <v>0.11</v>
      </c>
      <c r="O102">
        <f t="shared" si="9"/>
        <v>-1.8000000000000002E-2</v>
      </c>
      <c r="P102">
        <f t="shared" si="10"/>
        <v>0.19800000000000001</v>
      </c>
      <c r="Q102">
        <f t="shared" si="11"/>
        <v>57.182000000000002</v>
      </c>
      <c r="R102">
        <f t="shared" si="12"/>
        <v>57.398000000000003</v>
      </c>
      <c r="S102">
        <f t="shared" si="13"/>
        <v>57.2</v>
      </c>
    </row>
    <row r="103" spans="1:19" x14ac:dyDescent="0.25">
      <c r="A103">
        <v>1976</v>
      </c>
      <c r="B103">
        <v>-0.11</v>
      </c>
      <c r="C103">
        <v>0.03</v>
      </c>
      <c r="D103">
        <f t="shared" si="7"/>
        <v>57.002000000000002</v>
      </c>
      <c r="E103">
        <v>1976</v>
      </c>
      <c r="F103">
        <v>57.349567692752814</v>
      </c>
      <c r="G103">
        <f t="shared" si="8"/>
        <v>57.20000000000001</v>
      </c>
      <c r="L103">
        <v>1976</v>
      </c>
      <c r="M103">
        <v>-0.1</v>
      </c>
      <c r="N103">
        <v>0.12</v>
      </c>
      <c r="O103">
        <f t="shared" si="9"/>
        <v>-0.18000000000000002</v>
      </c>
      <c r="P103">
        <f t="shared" si="10"/>
        <v>0.216</v>
      </c>
      <c r="Q103">
        <f t="shared" si="11"/>
        <v>57.02</v>
      </c>
      <c r="R103">
        <f t="shared" si="12"/>
        <v>57.416000000000004</v>
      </c>
      <c r="S103">
        <f t="shared" si="13"/>
        <v>57.2</v>
      </c>
    </row>
    <row r="104" spans="1:19" x14ac:dyDescent="0.25">
      <c r="A104">
        <v>1977</v>
      </c>
      <c r="B104">
        <v>0.17</v>
      </c>
      <c r="C104">
        <v>7.0000000000000007E-2</v>
      </c>
      <c r="D104">
        <f t="shared" si="7"/>
        <v>57.506</v>
      </c>
      <c r="E104">
        <v>1977</v>
      </c>
      <c r="F104">
        <v>57.378489813235774</v>
      </c>
      <c r="G104">
        <f t="shared" si="8"/>
        <v>57.20000000000001</v>
      </c>
      <c r="L104">
        <v>1977</v>
      </c>
      <c r="M104">
        <v>0.17</v>
      </c>
      <c r="N104">
        <v>0.14000000000000001</v>
      </c>
      <c r="O104">
        <f t="shared" si="9"/>
        <v>0.30600000000000005</v>
      </c>
      <c r="P104">
        <f t="shared" si="10"/>
        <v>0.25200000000000006</v>
      </c>
      <c r="Q104">
        <f t="shared" si="11"/>
        <v>57.506</v>
      </c>
      <c r="R104">
        <f t="shared" si="12"/>
        <v>57.452000000000005</v>
      </c>
      <c r="S104">
        <f t="shared" si="13"/>
        <v>57.2</v>
      </c>
    </row>
    <row r="105" spans="1:19" x14ac:dyDescent="0.25">
      <c r="A105">
        <v>1978</v>
      </c>
      <c r="B105">
        <v>0.06</v>
      </c>
      <c r="C105">
        <v>0.12</v>
      </c>
      <c r="D105">
        <f t="shared" si="7"/>
        <v>57.308</v>
      </c>
      <c r="E105">
        <v>1978</v>
      </c>
      <c r="F105">
        <v>57.408209208512901</v>
      </c>
      <c r="G105">
        <f t="shared" si="8"/>
        <v>57.20000000000001</v>
      </c>
      <c r="L105">
        <v>1978</v>
      </c>
      <c r="M105">
        <v>7.0000000000000007E-2</v>
      </c>
      <c r="N105">
        <v>0.15</v>
      </c>
      <c r="O105">
        <f t="shared" si="9"/>
        <v>0.12600000000000003</v>
      </c>
      <c r="P105">
        <f t="shared" si="10"/>
        <v>0.27</v>
      </c>
      <c r="Q105">
        <f t="shared" si="11"/>
        <v>57.326000000000001</v>
      </c>
      <c r="R105">
        <f t="shared" si="12"/>
        <v>57.470000000000006</v>
      </c>
      <c r="S105">
        <f t="shared" si="13"/>
        <v>57.2</v>
      </c>
    </row>
    <row r="106" spans="1:19" x14ac:dyDescent="0.25">
      <c r="A106">
        <v>1979</v>
      </c>
      <c r="B106">
        <v>0.16</v>
      </c>
      <c r="C106">
        <v>0.16</v>
      </c>
      <c r="D106">
        <f t="shared" si="7"/>
        <v>57.488</v>
      </c>
      <c r="E106">
        <v>1979</v>
      </c>
      <c r="F106">
        <v>57.439506597207021</v>
      </c>
      <c r="G106">
        <f t="shared" si="8"/>
        <v>57.20000000000001</v>
      </c>
      <c r="L106">
        <v>1979</v>
      </c>
      <c r="M106">
        <v>0.16</v>
      </c>
      <c r="N106">
        <v>0.16</v>
      </c>
      <c r="O106">
        <f t="shared" si="9"/>
        <v>0.28800000000000003</v>
      </c>
      <c r="P106">
        <f t="shared" si="10"/>
        <v>0.28800000000000003</v>
      </c>
      <c r="Q106">
        <f t="shared" si="11"/>
        <v>57.488</v>
      </c>
      <c r="R106">
        <f t="shared" si="12"/>
        <v>57.488</v>
      </c>
      <c r="S106">
        <f t="shared" si="13"/>
        <v>57.2</v>
      </c>
    </row>
    <row r="107" spans="1:19" x14ac:dyDescent="0.25">
      <c r="A107">
        <v>1980</v>
      </c>
      <c r="B107">
        <v>0.27</v>
      </c>
      <c r="C107">
        <v>0.19</v>
      </c>
      <c r="D107">
        <f t="shared" si="7"/>
        <v>57.686</v>
      </c>
      <c r="E107">
        <v>1980</v>
      </c>
      <c r="F107">
        <v>57.472286552848615</v>
      </c>
      <c r="G107">
        <f t="shared" si="8"/>
        <v>57.20000000000001</v>
      </c>
      <c r="L107">
        <v>1980</v>
      </c>
      <c r="M107">
        <v>0.27</v>
      </c>
      <c r="N107">
        <v>0.17</v>
      </c>
      <c r="O107">
        <f t="shared" si="9"/>
        <v>0.48600000000000004</v>
      </c>
      <c r="P107">
        <f t="shared" si="10"/>
        <v>0.30600000000000005</v>
      </c>
      <c r="Q107">
        <f t="shared" si="11"/>
        <v>57.686</v>
      </c>
      <c r="R107">
        <f t="shared" si="12"/>
        <v>57.506</v>
      </c>
      <c r="S107">
        <f t="shared" si="13"/>
        <v>57.2</v>
      </c>
    </row>
    <row r="108" spans="1:19" x14ac:dyDescent="0.25">
      <c r="A108">
        <v>1981</v>
      </c>
      <c r="B108">
        <v>0.33</v>
      </c>
      <c r="C108">
        <v>0.21</v>
      </c>
      <c r="D108">
        <f t="shared" si="7"/>
        <v>57.794000000000004</v>
      </c>
      <c r="E108">
        <v>1981</v>
      </c>
      <c r="F108">
        <v>57.505827648519151</v>
      </c>
      <c r="G108">
        <f t="shared" si="8"/>
        <v>57.20000000000001</v>
      </c>
      <c r="L108">
        <v>1981</v>
      </c>
      <c r="M108">
        <v>0.33</v>
      </c>
      <c r="N108">
        <v>0.19</v>
      </c>
      <c r="O108">
        <f t="shared" si="9"/>
        <v>0.59400000000000008</v>
      </c>
      <c r="P108">
        <f t="shared" si="10"/>
        <v>0.34200000000000003</v>
      </c>
      <c r="Q108">
        <f t="shared" si="11"/>
        <v>57.794000000000004</v>
      </c>
      <c r="R108">
        <f t="shared" si="12"/>
        <v>57.542000000000002</v>
      </c>
      <c r="S108">
        <f t="shared" si="13"/>
        <v>57.2</v>
      </c>
    </row>
    <row r="109" spans="1:19" x14ac:dyDescent="0.25">
      <c r="A109">
        <v>1982</v>
      </c>
      <c r="B109">
        <v>0.13</v>
      </c>
      <c r="C109">
        <v>0.22</v>
      </c>
      <c r="D109">
        <f t="shared" si="7"/>
        <v>57.434000000000005</v>
      </c>
      <c r="E109">
        <v>1982</v>
      </c>
      <c r="F109">
        <v>57.539413113603295</v>
      </c>
      <c r="G109">
        <f t="shared" si="8"/>
        <v>57.20000000000001</v>
      </c>
      <c r="L109">
        <v>1982</v>
      </c>
      <c r="M109">
        <v>0.13</v>
      </c>
      <c r="N109">
        <v>0.2</v>
      </c>
      <c r="O109">
        <f t="shared" si="9"/>
        <v>0.23400000000000001</v>
      </c>
      <c r="P109">
        <f t="shared" si="10"/>
        <v>0.36000000000000004</v>
      </c>
      <c r="Q109">
        <f t="shared" si="11"/>
        <v>57.434000000000005</v>
      </c>
      <c r="R109">
        <f t="shared" si="12"/>
        <v>57.56</v>
      </c>
      <c r="S109">
        <f t="shared" si="13"/>
        <v>57.2</v>
      </c>
    </row>
    <row r="110" spans="1:19" x14ac:dyDescent="0.25">
      <c r="A110">
        <v>1983</v>
      </c>
      <c r="B110">
        <v>0.31</v>
      </c>
      <c r="C110">
        <v>0.21</v>
      </c>
      <c r="D110">
        <f t="shared" si="7"/>
        <v>57.758000000000003</v>
      </c>
      <c r="E110">
        <v>1983</v>
      </c>
      <c r="F110">
        <v>57.572557873435088</v>
      </c>
      <c r="G110">
        <f t="shared" si="8"/>
        <v>57.20000000000001</v>
      </c>
      <c r="L110">
        <v>1983</v>
      </c>
      <c r="M110">
        <v>0.31</v>
      </c>
      <c r="N110">
        <v>0.21</v>
      </c>
      <c r="O110">
        <f t="shared" si="9"/>
        <v>0.55800000000000005</v>
      </c>
      <c r="P110">
        <f t="shared" si="10"/>
        <v>0.378</v>
      </c>
      <c r="Q110">
        <f t="shared" si="11"/>
        <v>57.758000000000003</v>
      </c>
      <c r="R110">
        <f t="shared" si="12"/>
        <v>57.578000000000003</v>
      </c>
      <c r="S110">
        <f t="shared" si="13"/>
        <v>57.2</v>
      </c>
    </row>
    <row r="111" spans="1:19" x14ac:dyDescent="0.25">
      <c r="A111">
        <v>1984</v>
      </c>
      <c r="B111">
        <v>0.16</v>
      </c>
      <c r="C111">
        <v>0.21</v>
      </c>
      <c r="D111">
        <f t="shared" si="7"/>
        <v>57.488</v>
      </c>
      <c r="E111">
        <v>1984</v>
      </c>
      <c r="F111">
        <v>57.604520031510816</v>
      </c>
      <c r="G111">
        <f t="shared" si="8"/>
        <v>57.20000000000001</v>
      </c>
      <c r="L111">
        <v>1984</v>
      </c>
      <c r="M111">
        <v>0.16</v>
      </c>
      <c r="N111">
        <v>0.23</v>
      </c>
      <c r="O111">
        <f t="shared" si="9"/>
        <v>0.28800000000000003</v>
      </c>
      <c r="P111">
        <f t="shared" si="10"/>
        <v>0.41400000000000003</v>
      </c>
      <c r="Q111">
        <f t="shared" si="11"/>
        <v>57.488</v>
      </c>
      <c r="R111">
        <f t="shared" si="12"/>
        <v>57.614000000000004</v>
      </c>
      <c r="S111">
        <f t="shared" si="13"/>
        <v>57.2</v>
      </c>
    </row>
    <row r="112" spans="1:19" x14ac:dyDescent="0.25">
      <c r="A112">
        <v>1985</v>
      </c>
      <c r="B112">
        <v>0.12</v>
      </c>
      <c r="C112">
        <v>0.23</v>
      </c>
      <c r="D112">
        <f t="shared" si="7"/>
        <v>57.416000000000004</v>
      </c>
      <c r="E112">
        <v>1985</v>
      </c>
      <c r="F112">
        <v>57.635103642637809</v>
      </c>
      <c r="G112">
        <f t="shared" si="8"/>
        <v>57.20000000000001</v>
      </c>
      <c r="L112">
        <v>1985</v>
      </c>
      <c r="M112">
        <v>0.11</v>
      </c>
      <c r="N112">
        <v>0.24</v>
      </c>
      <c r="O112">
        <f t="shared" si="9"/>
        <v>0.19800000000000001</v>
      </c>
      <c r="P112">
        <f t="shared" si="10"/>
        <v>0.432</v>
      </c>
      <c r="Q112">
        <f t="shared" si="11"/>
        <v>57.398000000000003</v>
      </c>
      <c r="R112">
        <f t="shared" si="12"/>
        <v>57.632000000000005</v>
      </c>
      <c r="S112">
        <f t="shared" si="13"/>
        <v>57.2</v>
      </c>
    </row>
    <row r="113" spans="1:19" x14ac:dyDescent="0.25">
      <c r="A113">
        <v>1986</v>
      </c>
      <c r="B113">
        <v>0.18</v>
      </c>
      <c r="C113">
        <v>0.25</v>
      </c>
      <c r="D113">
        <f t="shared" si="7"/>
        <v>57.524000000000001</v>
      </c>
      <c r="E113">
        <v>1986</v>
      </c>
      <c r="F113">
        <v>57.664808326167311</v>
      </c>
      <c r="G113">
        <f t="shared" si="8"/>
        <v>57.20000000000001</v>
      </c>
      <c r="L113">
        <v>1986</v>
      </c>
      <c r="M113">
        <v>0.18</v>
      </c>
      <c r="N113">
        <v>0.26</v>
      </c>
      <c r="O113">
        <f t="shared" si="9"/>
        <v>0.32400000000000001</v>
      </c>
      <c r="P113">
        <f t="shared" si="10"/>
        <v>0.46800000000000003</v>
      </c>
      <c r="Q113">
        <f t="shared" si="11"/>
        <v>57.524000000000001</v>
      </c>
      <c r="R113">
        <f t="shared" si="12"/>
        <v>57.668000000000006</v>
      </c>
      <c r="S113">
        <f t="shared" si="13"/>
        <v>57.2</v>
      </c>
    </row>
    <row r="114" spans="1:19" x14ac:dyDescent="0.25">
      <c r="A114">
        <v>1987</v>
      </c>
      <c r="B114">
        <v>0.33</v>
      </c>
      <c r="C114">
        <v>0.28000000000000003</v>
      </c>
      <c r="D114">
        <f t="shared" si="7"/>
        <v>57.794000000000004</v>
      </c>
      <c r="E114">
        <v>1987</v>
      </c>
      <c r="F114">
        <v>57.693419081887981</v>
      </c>
      <c r="G114">
        <f t="shared" si="8"/>
        <v>57.20000000000001</v>
      </c>
      <c r="L114">
        <v>1987</v>
      </c>
      <c r="M114">
        <v>0.33</v>
      </c>
      <c r="N114">
        <v>0.27</v>
      </c>
      <c r="O114">
        <f t="shared" si="9"/>
        <v>0.59400000000000008</v>
      </c>
      <c r="P114">
        <f t="shared" si="10"/>
        <v>0.48600000000000004</v>
      </c>
      <c r="Q114">
        <f t="shared" si="11"/>
        <v>57.794000000000004</v>
      </c>
      <c r="R114">
        <f t="shared" si="12"/>
        <v>57.686</v>
      </c>
      <c r="S114">
        <f t="shared" si="13"/>
        <v>57.2</v>
      </c>
    </row>
    <row r="115" spans="1:19" x14ac:dyDescent="0.25">
      <c r="A115">
        <v>1988</v>
      </c>
      <c r="B115">
        <v>0.41</v>
      </c>
      <c r="C115">
        <v>0.31</v>
      </c>
      <c r="D115">
        <f t="shared" si="7"/>
        <v>57.938000000000002</v>
      </c>
      <c r="E115">
        <v>1988</v>
      </c>
      <c r="F115">
        <v>57.720461475610129</v>
      </c>
      <c r="G115">
        <f t="shared" si="8"/>
        <v>57.20000000000001</v>
      </c>
      <c r="L115">
        <v>1988</v>
      </c>
      <c r="M115">
        <v>0.4</v>
      </c>
      <c r="N115">
        <v>0.28999999999999998</v>
      </c>
      <c r="O115">
        <f t="shared" si="9"/>
        <v>0.72000000000000008</v>
      </c>
      <c r="P115">
        <f t="shared" si="10"/>
        <v>0.52200000000000002</v>
      </c>
      <c r="Q115">
        <f t="shared" si="11"/>
        <v>57.92</v>
      </c>
      <c r="R115">
        <f t="shared" si="12"/>
        <v>57.722000000000001</v>
      </c>
      <c r="S115">
        <f t="shared" si="13"/>
        <v>57.2</v>
      </c>
    </row>
    <row r="116" spans="1:19" x14ac:dyDescent="0.25">
      <c r="A116">
        <v>1989</v>
      </c>
      <c r="B116">
        <v>0.28000000000000003</v>
      </c>
      <c r="C116">
        <v>0.34</v>
      </c>
      <c r="D116">
        <f t="shared" si="7"/>
        <v>57.704000000000001</v>
      </c>
      <c r="E116">
        <v>1989</v>
      </c>
      <c r="F116">
        <v>57.746575982733781</v>
      </c>
      <c r="G116">
        <f t="shared" si="8"/>
        <v>57.20000000000001</v>
      </c>
      <c r="L116">
        <v>1989</v>
      </c>
      <c r="M116">
        <v>0.28000000000000003</v>
      </c>
      <c r="N116">
        <v>0.31</v>
      </c>
      <c r="O116">
        <f t="shared" si="9"/>
        <v>0.50400000000000011</v>
      </c>
      <c r="P116">
        <f t="shared" si="10"/>
        <v>0.55800000000000005</v>
      </c>
      <c r="Q116">
        <f t="shared" si="11"/>
        <v>57.704000000000001</v>
      </c>
      <c r="R116">
        <f t="shared" si="12"/>
        <v>57.758000000000003</v>
      </c>
      <c r="S116">
        <f t="shared" si="13"/>
        <v>57.2</v>
      </c>
    </row>
    <row r="117" spans="1:19" x14ac:dyDescent="0.25">
      <c r="A117">
        <v>1990</v>
      </c>
      <c r="B117">
        <v>0.44</v>
      </c>
      <c r="C117">
        <v>0.34</v>
      </c>
      <c r="D117">
        <f t="shared" si="7"/>
        <v>57.992000000000004</v>
      </c>
      <c r="E117">
        <v>1990</v>
      </c>
      <c r="F117">
        <v>57.773015910641028</v>
      </c>
      <c r="G117">
        <f t="shared" si="8"/>
        <v>57.20000000000001</v>
      </c>
      <c r="L117">
        <v>1990</v>
      </c>
      <c r="M117">
        <v>0.44</v>
      </c>
      <c r="N117">
        <v>0.32</v>
      </c>
      <c r="O117">
        <f t="shared" si="9"/>
        <v>0.79200000000000004</v>
      </c>
      <c r="P117">
        <f t="shared" si="10"/>
        <v>0.57600000000000007</v>
      </c>
      <c r="Q117">
        <f t="shared" si="11"/>
        <v>57.992000000000004</v>
      </c>
      <c r="R117">
        <f t="shared" si="12"/>
        <v>57.776000000000003</v>
      </c>
      <c r="S117">
        <f t="shared" si="13"/>
        <v>57.2</v>
      </c>
    </row>
    <row r="118" spans="1:19" x14ac:dyDescent="0.25">
      <c r="A118">
        <v>1991</v>
      </c>
      <c r="B118">
        <v>0.41</v>
      </c>
      <c r="C118">
        <v>0.33</v>
      </c>
      <c r="D118">
        <f t="shared" si="7"/>
        <v>57.938000000000002</v>
      </c>
      <c r="E118">
        <v>1991</v>
      </c>
      <c r="F118">
        <v>57.800995836337869</v>
      </c>
      <c r="G118">
        <f t="shared" si="8"/>
        <v>57.20000000000001</v>
      </c>
      <c r="L118">
        <v>1991</v>
      </c>
      <c r="M118">
        <v>0.41</v>
      </c>
      <c r="N118">
        <v>0.34</v>
      </c>
      <c r="O118">
        <f t="shared" si="9"/>
        <v>0.73799999999999999</v>
      </c>
      <c r="P118">
        <f t="shared" si="10"/>
        <v>0.6120000000000001</v>
      </c>
      <c r="Q118">
        <f t="shared" si="11"/>
        <v>57.938000000000002</v>
      </c>
      <c r="R118">
        <f t="shared" si="12"/>
        <v>57.812000000000005</v>
      </c>
      <c r="S118">
        <f t="shared" si="13"/>
        <v>57.2</v>
      </c>
    </row>
    <row r="119" spans="1:19" x14ac:dyDescent="0.25">
      <c r="A119">
        <v>1992</v>
      </c>
      <c r="B119">
        <v>0.22</v>
      </c>
      <c r="C119">
        <v>0.33</v>
      </c>
      <c r="D119">
        <f t="shared" si="7"/>
        <v>57.596000000000004</v>
      </c>
      <c r="E119">
        <v>1992</v>
      </c>
      <c r="F119">
        <v>57.830735610512676</v>
      </c>
      <c r="G119">
        <f t="shared" si="8"/>
        <v>57.20000000000001</v>
      </c>
      <c r="L119">
        <v>1992</v>
      </c>
      <c r="M119">
        <v>0.21</v>
      </c>
      <c r="N119">
        <v>0.36</v>
      </c>
      <c r="O119">
        <f t="shared" si="9"/>
        <v>0.378</v>
      </c>
      <c r="P119">
        <f t="shared" si="10"/>
        <v>0.64800000000000002</v>
      </c>
      <c r="Q119">
        <f t="shared" si="11"/>
        <v>57.578000000000003</v>
      </c>
      <c r="R119">
        <f t="shared" si="12"/>
        <v>57.848000000000006</v>
      </c>
      <c r="S119">
        <f t="shared" si="13"/>
        <v>57.2</v>
      </c>
    </row>
    <row r="120" spans="1:19" x14ac:dyDescent="0.25">
      <c r="A120">
        <v>1993</v>
      </c>
      <c r="B120">
        <v>0.24</v>
      </c>
      <c r="C120">
        <v>0.33</v>
      </c>
      <c r="D120">
        <f t="shared" si="7"/>
        <v>57.632000000000005</v>
      </c>
      <c r="E120">
        <v>1993</v>
      </c>
      <c r="F120">
        <v>57.862367630936163</v>
      </c>
      <c r="G120">
        <f t="shared" si="8"/>
        <v>57.20000000000001</v>
      </c>
      <c r="L120">
        <v>1993</v>
      </c>
      <c r="M120">
        <v>0.23</v>
      </c>
      <c r="N120">
        <v>0.38</v>
      </c>
      <c r="O120">
        <f t="shared" si="9"/>
        <v>0.41400000000000003</v>
      </c>
      <c r="P120">
        <f t="shared" si="10"/>
        <v>0.68400000000000005</v>
      </c>
      <c r="Q120">
        <f t="shared" si="11"/>
        <v>57.614000000000004</v>
      </c>
      <c r="R120">
        <f t="shared" si="12"/>
        <v>57.884</v>
      </c>
      <c r="S120">
        <f t="shared" si="13"/>
        <v>57.2</v>
      </c>
    </row>
    <row r="121" spans="1:19" x14ac:dyDescent="0.25">
      <c r="A121">
        <v>1994</v>
      </c>
      <c r="B121">
        <v>0.31</v>
      </c>
      <c r="C121">
        <v>0.34</v>
      </c>
      <c r="D121">
        <f t="shared" si="7"/>
        <v>57.758000000000003</v>
      </c>
      <c r="E121">
        <v>1994</v>
      </c>
      <c r="F121">
        <v>57.895556485709392</v>
      </c>
      <c r="G121">
        <f t="shared" si="8"/>
        <v>57.20000000000001</v>
      </c>
      <c r="L121">
        <v>1994</v>
      </c>
      <c r="M121">
        <v>0.31</v>
      </c>
      <c r="N121">
        <v>0.39</v>
      </c>
      <c r="O121">
        <f t="shared" si="9"/>
        <v>0.55800000000000005</v>
      </c>
      <c r="P121">
        <f t="shared" si="10"/>
        <v>0.70200000000000007</v>
      </c>
      <c r="Q121">
        <f t="shared" si="11"/>
        <v>57.758000000000003</v>
      </c>
      <c r="R121">
        <f t="shared" si="12"/>
        <v>57.902000000000001</v>
      </c>
      <c r="S121">
        <f t="shared" si="13"/>
        <v>57.2</v>
      </c>
    </row>
    <row r="122" spans="1:19" x14ac:dyDescent="0.25">
      <c r="A122">
        <v>1995</v>
      </c>
      <c r="B122">
        <v>0.44</v>
      </c>
      <c r="C122">
        <v>0.37</v>
      </c>
      <c r="D122">
        <f t="shared" si="7"/>
        <v>57.992000000000004</v>
      </c>
      <c r="E122">
        <v>1995</v>
      </c>
      <c r="F122">
        <v>57.929382359923032</v>
      </c>
      <c r="G122">
        <f t="shared" si="8"/>
        <v>57.20000000000001</v>
      </c>
      <c r="L122">
        <v>1995</v>
      </c>
      <c r="M122">
        <v>0.44</v>
      </c>
      <c r="N122">
        <v>0.41</v>
      </c>
      <c r="O122">
        <f t="shared" si="9"/>
        <v>0.79200000000000004</v>
      </c>
      <c r="P122">
        <f t="shared" si="10"/>
        <v>0.73799999999999999</v>
      </c>
      <c r="Q122">
        <f t="shared" si="11"/>
        <v>57.992000000000004</v>
      </c>
      <c r="R122">
        <f t="shared" si="12"/>
        <v>57.938000000000002</v>
      </c>
      <c r="S122">
        <f t="shared" si="13"/>
        <v>57.2</v>
      </c>
    </row>
    <row r="123" spans="1:19" x14ac:dyDescent="0.25">
      <c r="A123">
        <v>1996</v>
      </c>
      <c r="B123">
        <v>0.33</v>
      </c>
      <c r="C123">
        <v>0.4</v>
      </c>
      <c r="D123">
        <f t="shared" si="7"/>
        <v>57.794000000000004</v>
      </c>
      <c r="E123">
        <v>1996</v>
      </c>
      <c r="F123">
        <v>57.962648940773015</v>
      </c>
      <c r="G123">
        <f t="shared" si="8"/>
        <v>57.20000000000001</v>
      </c>
      <c r="L123">
        <v>1996</v>
      </c>
      <c r="M123">
        <v>0.33</v>
      </c>
      <c r="N123">
        <v>0.43</v>
      </c>
      <c r="O123">
        <f t="shared" si="9"/>
        <v>0.59400000000000008</v>
      </c>
      <c r="P123">
        <f t="shared" si="10"/>
        <v>0.77400000000000002</v>
      </c>
      <c r="Q123">
        <f t="shared" si="11"/>
        <v>57.794000000000004</v>
      </c>
      <c r="R123">
        <f t="shared" si="12"/>
        <v>57.974000000000004</v>
      </c>
      <c r="S123">
        <f t="shared" si="13"/>
        <v>57.2</v>
      </c>
    </row>
    <row r="124" spans="1:19" x14ac:dyDescent="0.25">
      <c r="A124">
        <v>1997</v>
      </c>
      <c r="B124">
        <v>0.47</v>
      </c>
      <c r="C124">
        <v>0.43</v>
      </c>
      <c r="D124">
        <f t="shared" si="7"/>
        <v>58.045999999999999</v>
      </c>
      <c r="E124">
        <v>1997</v>
      </c>
      <c r="F124">
        <v>57.994878236965832</v>
      </c>
      <c r="G124">
        <f t="shared" si="8"/>
        <v>57.20000000000001</v>
      </c>
      <c r="L124">
        <v>1997</v>
      </c>
      <c r="M124">
        <v>0.47</v>
      </c>
      <c r="N124">
        <v>0.44</v>
      </c>
      <c r="O124">
        <f t="shared" si="9"/>
        <v>0.84599999999999997</v>
      </c>
      <c r="P124">
        <f t="shared" si="10"/>
        <v>0.79200000000000004</v>
      </c>
      <c r="Q124">
        <f t="shared" si="11"/>
        <v>58.045999999999999</v>
      </c>
      <c r="R124">
        <f t="shared" si="12"/>
        <v>57.992000000000004</v>
      </c>
      <c r="S124">
        <f t="shared" si="13"/>
        <v>57.2</v>
      </c>
    </row>
    <row r="125" spans="1:19" x14ac:dyDescent="0.25">
      <c r="A125">
        <v>1998</v>
      </c>
      <c r="B125">
        <v>0.62</v>
      </c>
      <c r="C125">
        <v>0.45</v>
      </c>
      <c r="D125">
        <f t="shared" si="7"/>
        <v>58.316000000000003</v>
      </c>
      <c r="E125">
        <v>1998</v>
      </c>
      <c r="F125">
        <v>58.026021122414619</v>
      </c>
      <c r="G125">
        <f t="shared" si="8"/>
        <v>57.20000000000001</v>
      </c>
      <c r="L125">
        <v>1998</v>
      </c>
      <c r="M125">
        <v>0.62</v>
      </c>
      <c r="N125">
        <v>0.46</v>
      </c>
      <c r="O125">
        <f t="shared" si="9"/>
        <v>1.1160000000000001</v>
      </c>
      <c r="P125">
        <f t="shared" si="10"/>
        <v>0.82800000000000007</v>
      </c>
      <c r="Q125">
        <f t="shared" si="11"/>
        <v>58.316000000000003</v>
      </c>
      <c r="R125">
        <f t="shared" si="12"/>
        <v>58.028000000000006</v>
      </c>
      <c r="S125">
        <f t="shared" si="13"/>
        <v>57.2</v>
      </c>
    </row>
    <row r="126" spans="1:19" x14ac:dyDescent="0.25">
      <c r="A126">
        <v>1999</v>
      </c>
      <c r="B126">
        <v>0.4</v>
      </c>
      <c r="C126">
        <v>0.48</v>
      </c>
      <c r="D126">
        <f t="shared" si="7"/>
        <v>57.92</v>
      </c>
      <c r="E126">
        <v>1999</v>
      </c>
      <c r="F126">
        <v>58.056389365223239</v>
      </c>
      <c r="G126">
        <f t="shared" si="8"/>
        <v>57.20000000000001</v>
      </c>
      <c r="L126">
        <v>1999</v>
      </c>
      <c r="M126">
        <v>0.39</v>
      </c>
      <c r="N126">
        <v>0.48</v>
      </c>
      <c r="O126">
        <f t="shared" si="9"/>
        <v>0.70200000000000007</v>
      </c>
      <c r="P126">
        <f t="shared" si="10"/>
        <v>0.86399999999999999</v>
      </c>
      <c r="Q126">
        <f t="shared" si="11"/>
        <v>57.902000000000001</v>
      </c>
      <c r="R126">
        <f t="shared" si="12"/>
        <v>58.064</v>
      </c>
      <c r="S126">
        <f t="shared" si="13"/>
        <v>57.2</v>
      </c>
    </row>
    <row r="127" spans="1:19" x14ac:dyDescent="0.25">
      <c r="A127">
        <v>2000</v>
      </c>
      <c r="B127">
        <v>0.4</v>
      </c>
      <c r="C127">
        <v>0.5</v>
      </c>
      <c r="D127">
        <f t="shared" si="7"/>
        <v>57.92</v>
      </c>
      <c r="E127">
        <v>2000</v>
      </c>
      <c r="F127">
        <v>58.086429942795036</v>
      </c>
      <c r="G127">
        <f t="shared" si="8"/>
        <v>57.20000000000001</v>
      </c>
      <c r="L127">
        <v>2000</v>
      </c>
      <c r="M127">
        <v>0.4</v>
      </c>
      <c r="N127">
        <v>0.5</v>
      </c>
      <c r="O127">
        <f t="shared" si="9"/>
        <v>0.72000000000000008</v>
      </c>
      <c r="P127">
        <f t="shared" si="10"/>
        <v>0.9</v>
      </c>
      <c r="Q127">
        <f t="shared" si="11"/>
        <v>57.92</v>
      </c>
      <c r="R127">
        <f t="shared" si="12"/>
        <v>58.1</v>
      </c>
      <c r="S127">
        <f t="shared" si="13"/>
        <v>57.2</v>
      </c>
    </row>
    <row r="128" spans="1:19" x14ac:dyDescent="0.25">
      <c r="A128">
        <v>2001</v>
      </c>
      <c r="B128">
        <v>0.54</v>
      </c>
      <c r="C128">
        <v>0.52</v>
      </c>
      <c r="D128">
        <f t="shared" si="7"/>
        <v>58.172000000000004</v>
      </c>
      <c r="E128">
        <v>2001</v>
      </c>
      <c r="F128">
        <v>58.11647002586659</v>
      </c>
      <c r="G128">
        <f t="shared" si="8"/>
        <v>57.20000000000001</v>
      </c>
      <c r="L128">
        <v>2001</v>
      </c>
      <c r="M128">
        <v>0.53</v>
      </c>
      <c r="N128">
        <v>0.51</v>
      </c>
      <c r="O128">
        <f t="shared" si="9"/>
        <v>0.95400000000000007</v>
      </c>
      <c r="P128">
        <f t="shared" si="10"/>
        <v>0.91800000000000004</v>
      </c>
      <c r="Q128">
        <f t="shared" si="11"/>
        <v>58.154000000000003</v>
      </c>
      <c r="R128">
        <f t="shared" si="12"/>
        <v>58.118000000000002</v>
      </c>
      <c r="S128">
        <f t="shared" si="13"/>
        <v>57.2</v>
      </c>
    </row>
    <row r="129" spans="1:19" x14ac:dyDescent="0.25">
      <c r="A129">
        <v>2002</v>
      </c>
      <c r="B129">
        <v>0.62</v>
      </c>
      <c r="C129">
        <v>0.55000000000000004</v>
      </c>
      <c r="D129">
        <f t="shared" si="7"/>
        <v>58.316000000000003</v>
      </c>
      <c r="E129">
        <v>2002</v>
      </c>
      <c r="F129">
        <v>58.146700238745026</v>
      </c>
      <c r="G129">
        <f t="shared" si="8"/>
        <v>57.20000000000001</v>
      </c>
      <c r="L129">
        <v>2002</v>
      </c>
      <c r="M129">
        <v>0.62</v>
      </c>
      <c r="N129">
        <v>0.53</v>
      </c>
      <c r="O129">
        <f t="shared" si="9"/>
        <v>1.1160000000000001</v>
      </c>
      <c r="P129">
        <f t="shared" si="10"/>
        <v>0.95400000000000007</v>
      </c>
      <c r="Q129">
        <f t="shared" si="11"/>
        <v>58.316000000000003</v>
      </c>
      <c r="R129">
        <f t="shared" si="12"/>
        <v>58.154000000000003</v>
      </c>
      <c r="S129">
        <f t="shared" si="13"/>
        <v>57.2</v>
      </c>
    </row>
    <row r="130" spans="1:19" x14ac:dyDescent="0.25">
      <c r="A130">
        <v>2003</v>
      </c>
      <c r="B130">
        <v>0.61</v>
      </c>
      <c r="C130">
        <v>0.57999999999999996</v>
      </c>
      <c r="D130">
        <f t="shared" si="7"/>
        <v>58.298000000000002</v>
      </c>
      <c r="E130">
        <v>2003</v>
      </c>
      <c r="F130">
        <v>58.174656180086252</v>
      </c>
      <c r="G130">
        <f t="shared" si="8"/>
        <v>57.20000000000001</v>
      </c>
      <c r="L130">
        <v>2003</v>
      </c>
      <c r="M130">
        <v>0.61</v>
      </c>
      <c r="N130">
        <v>0.55000000000000004</v>
      </c>
      <c r="O130">
        <f t="shared" si="9"/>
        <v>1.0980000000000001</v>
      </c>
      <c r="P130">
        <f t="shared" si="10"/>
        <v>0.9900000000000001</v>
      </c>
      <c r="Q130">
        <f t="shared" si="11"/>
        <v>58.298000000000002</v>
      </c>
      <c r="R130">
        <f t="shared" si="12"/>
        <v>58.190000000000005</v>
      </c>
      <c r="S130">
        <f t="shared" si="13"/>
        <v>57.2</v>
      </c>
    </row>
    <row r="131" spans="1:19" x14ac:dyDescent="0.25">
      <c r="A131">
        <v>2004</v>
      </c>
      <c r="B131">
        <v>0.53</v>
      </c>
      <c r="C131">
        <v>0.6</v>
      </c>
      <c r="D131">
        <f t="shared" si="7"/>
        <v>58.154000000000003</v>
      </c>
      <c r="E131">
        <v>2004</v>
      </c>
      <c r="F131">
        <v>58.208081243549948</v>
      </c>
      <c r="G131">
        <f t="shared" si="8"/>
        <v>57.20000000000001</v>
      </c>
      <c r="L131">
        <v>2004</v>
      </c>
      <c r="M131">
        <v>0.54</v>
      </c>
      <c r="N131">
        <v>0.56999999999999995</v>
      </c>
      <c r="O131">
        <f t="shared" si="9"/>
        <v>0.97200000000000009</v>
      </c>
      <c r="P131">
        <f t="shared" si="10"/>
        <v>1.026</v>
      </c>
      <c r="Q131">
        <f t="shared" si="11"/>
        <v>58.172000000000004</v>
      </c>
      <c r="R131">
        <f t="shared" si="12"/>
        <v>58.226000000000006</v>
      </c>
      <c r="S131">
        <f t="shared" si="13"/>
        <v>57.2</v>
      </c>
    </row>
    <row r="132" spans="1:19" x14ac:dyDescent="0.25">
      <c r="A132">
        <v>2005</v>
      </c>
      <c r="B132">
        <v>0.67</v>
      </c>
      <c r="C132">
        <v>0.61</v>
      </c>
      <c r="D132">
        <f t="shared" si="7"/>
        <v>58.406000000000006</v>
      </c>
      <c r="E132">
        <v>2005</v>
      </c>
      <c r="F132">
        <v>58.244593788981796</v>
      </c>
      <c r="G132">
        <f t="shared" si="8"/>
        <v>57.20000000000001</v>
      </c>
      <c r="L132">
        <v>2005</v>
      </c>
      <c r="M132">
        <v>0.66</v>
      </c>
      <c r="N132">
        <v>0.57999999999999996</v>
      </c>
      <c r="O132">
        <f t="shared" si="9"/>
        <v>1.1880000000000002</v>
      </c>
      <c r="P132">
        <f t="shared" si="10"/>
        <v>1.044</v>
      </c>
      <c r="Q132">
        <f t="shared" si="11"/>
        <v>58.388000000000005</v>
      </c>
      <c r="R132">
        <f t="shared" si="12"/>
        <v>58.244</v>
      </c>
      <c r="S132">
        <f t="shared" si="13"/>
        <v>57.2</v>
      </c>
    </row>
    <row r="133" spans="1:19" x14ac:dyDescent="0.25">
      <c r="A133">
        <v>2006</v>
      </c>
      <c r="B133">
        <v>0.62</v>
      </c>
      <c r="C133">
        <v>0.61</v>
      </c>
      <c r="D133">
        <f t="shared" si="7"/>
        <v>58.316000000000003</v>
      </c>
      <c r="E133">
        <v>2006</v>
      </c>
      <c r="F133">
        <v>58.282242460444188</v>
      </c>
      <c r="G133">
        <f t="shared" si="8"/>
        <v>57.20000000000001</v>
      </c>
      <c r="L133">
        <v>2006</v>
      </c>
      <c r="M133">
        <v>0.61</v>
      </c>
      <c r="N133">
        <v>0.6</v>
      </c>
      <c r="O133">
        <f t="shared" si="9"/>
        <v>1.0980000000000001</v>
      </c>
      <c r="P133">
        <f t="shared" si="10"/>
        <v>1.08</v>
      </c>
      <c r="Q133">
        <f t="shared" si="11"/>
        <v>58.298000000000002</v>
      </c>
      <c r="R133">
        <f t="shared" si="12"/>
        <v>58.28</v>
      </c>
      <c r="S133">
        <f t="shared" si="13"/>
        <v>57.2</v>
      </c>
    </row>
    <row r="134" spans="1:19" x14ac:dyDescent="0.25">
      <c r="A134">
        <v>2007</v>
      </c>
      <c r="B134">
        <v>0.64</v>
      </c>
      <c r="C134">
        <v>0.61</v>
      </c>
      <c r="D134">
        <f t="shared" si="7"/>
        <v>58.352000000000004</v>
      </c>
      <c r="E134">
        <v>2007</v>
      </c>
      <c r="F134">
        <v>58.320200879683441</v>
      </c>
      <c r="G134">
        <f t="shared" si="8"/>
        <v>57.20000000000001</v>
      </c>
      <c r="L134">
        <v>2007</v>
      </c>
      <c r="M134">
        <v>0.63</v>
      </c>
      <c r="N134">
        <v>0.62</v>
      </c>
      <c r="O134">
        <f t="shared" si="9"/>
        <v>1.1340000000000001</v>
      </c>
      <c r="P134">
        <f t="shared" si="10"/>
        <v>1.1160000000000001</v>
      </c>
      <c r="Q134">
        <f t="shared" si="11"/>
        <v>58.334000000000003</v>
      </c>
      <c r="R134">
        <f t="shared" si="12"/>
        <v>58.316000000000003</v>
      </c>
      <c r="S134">
        <f t="shared" si="13"/>
        <v>57.2</v>
      </c>
    </row>
    <row r="135" spans="1:19" x14ac:dyDescent="0.25">
      <c r="A135">
        <v>2008</v>
      </c>
      <c r="B135">
        <v>0.52</v>
      </c>
      <c r="C135">
        <v>0.62</v>
      </c>
      <c r="D135">
        <f t="shared" si="7"/>
        <v>58.136000000000003</v>
      </c>
      <c r="E135">
        <v>2008</v>
      </c>
      <c r="F135">
        <v>58.358105340283053</v>
      </c>
      <c r="G135">
        <f t="shared" si="8"/>
        <v>57.20000000000001</v>
      </c>
      <c r="L135">
        <v>2008</v>
      </c>
      <c r="M135">
        <v>0.51</v>
      </c>
      <c r="N135">
        <v>0.64</v>
      </c>
      <c r="O135">
        <f t="shared" si="9"/>
        <v>0.91800000000000004</v>
      </c>
      <c r="P135">
        <f t="shared" si="10"/>
        <v>1.1520000000000001</v>
      </c>
      <c r="Q135">
        <f t="shared" si="11"/>
        <v>58.118000000000002</v>
      </c>
      <c r="R135">
        <f t="shared" si="12"/>
        <v>58.352000000000004</v>
      </c>
      <c r="S135">
        <f t="shared" si="13"/>
        <v>57.2</v>
      </c>
    </row>
    <row r="136" spans="1:19" x14ac:dyDescent="0.25">
      <c r="A136">
        <v>2009</v>
      </c>
      <c r="B136">
        <v>0.63</v>
      </c>
      <c r="C136">
        <v>0.62</v>
      </c>
      <c r="D136">
        <f t="shared" ref="D136:D144" si="14">+B136*$C$5+$D$5</f>
        <v>58.334000000000003</v>
      </c>
      <c r="E136">
        <v>2009</v>
      </c>
      <c r="F136">
        <v>58.395790526888582</v>
      </c>
      <c r="G136">
        <f t="shared" ref="G136:G144" si="15">+AVERAGE($D$78:$D$107)</f>
        <v>57.20000000000001</v>
      </c>
      <c r="L136">
        <v>2009</v>
      </c>
      <c r="M136">
        <v>0.63</v>
      </c>
      <c r="N136">
        <v>0.65</v>
      </c>
      <c r="O136">
        <f t="shared" ref="O136:O144" si="16">+M136*$C$5</f>
        <v>1.1340000000000001</v>
      </c>
      <c r="P136">
        <f t="shared" ref="P136:P144" si="17">+N136*$C$5</f>
        <v>1.1700000000000002</v>
      </c>
      <c r="Q136">
        <f t="shared" ref="Q136:Q144" si="18">+O136+$D$5</f>
        <v>58.334000000000003</v>
      </c>
      <c r="R136">
        <f t="shared" ref="R136:R144" si="19">+P136+$D$5</f>
        <v>58.370000000000005</v>
      </c>
      <c r="S136">
        <f t="shared" ref="S136:S144" si="20">+$D$5</f>
        <v>57.2</v>
      </c>
    </row>
    <row r="137" spans="1:19" x14ac:dyDescent="0.25">
      <c r="A137">
        <v>2010</v>
      </c>
      <c r="B137">
        <v>0.7</v>
      </c>
      <c r="C137">
        <v>0.62</v>
      </c>
      <c r="D137">
        <f t="shared" si="14"/>
        <v>58.46</v>
      </c>
      <c r="E137">
        <v>2010</v>
      </c>
      <c r="F137">
        <v>58.433215506974328</v>
      </c>
      <c r="G137">
        <f t="shared" si="15"/>
        <v>57.20000000000001</v>
      </c>
      <c r="L137">
        <v>2010</v>
      </c>
      <c r="M137">
        <v>0.69</v>
      </c>
      <c r="N137">
        <v>0.67</v>
      </c>
      <c r="O137">
        <f t="shared" si="16"/>
        <v>1.242</v>
      </c>
      <c r="P137">
        <f t="shared" si="17"/>
        <v>1.2060000000000002</v>
      </c>
      <c r="Q137">
        <f t="shared" si="18"/>
        <v>58.442</v>
      </c>
      <c r="R137">
        <f t="shared" si="19"/>
        <v>58.406000000000006</v>
      </c>
      <c r="S137">
        <f t="shared" si="20"/>
        <v>57.2</v>
      </c>
    </row>
    <row r="138" spans="1:19" x14ac:dyDescent="0.25">
      <c r="A138">
        <v>2011</v>
      </c>
      <c r="B138">
        <v>0.56999999999999995</v>
      </c>
      <c r="C138">
        <v>0.63</v>
      </c>
      <c r="D138">
        <f t="shared" si="14"/>
        <v>58.226000000000006</v>
      </c>
      <c r="E138">
        <v>2011</v>
      </c>
      <c r="F138">
        <v>58.470395763556716</v>
      </c>
      <c r="G138">
        <f t="shared" si="15"/>
        <v>57.20000000000001</v>
      </c>
      <c r="L138">
        <v>2011</v>
      </c>
      <c r="M138">
        <v>0.56000000000000005</v>
      </c>
      <c r="N138">
        <v>0.69</v>
      </c>
      <c r="O138">
        <f t="shared" si="16"/>
        <v>1.0080000000000002</v>
      </c>
      <c r="P138">
        <f t="shared" si="17"/>
        <v>1.242</v>
      </c>
      <c r="Q138">
        <f t="shared" si="18"/>
        <v>58.208000000000006</v>
      </c>
      <c r="R138">
        <f t="shared" si="19"/>
        <v>58.442</v>
      </c>
      <c r="S138">
        <f t="shared" si="20"/>
        <v>57.2</v>
      </c>
    </row>
    <row r="139" spans="1:19" x14ac:dyDescent="0.25">
      <c r="A139">
        <v>2012</v>
      </c>
      <c r="B139">
        <v>0.61</v>
      </c>
      <c r="C139">
        <v>0.67</v>
      </c>
      <c r="D139">
        <f t="shared" si="14"/>
        <v>58.298000000000002</v>
      </c>
      <c r="E139">
        <v>2012</v>
      </c>
      <c r="F139">
        <v>58.507375645060939</v>
      </c>
      <c r="G139">
        <f t="shared" si="15"/>
        <v>57.20000000000001</v>
      </c>
      <c r="L139">
        <v>2012</v>
      </c>
      <c r="M139">
        <v>0.61</v>
      </c>
      <c r="N139">
        <v>0.71</v>
      </c>
      <c r="O139">
        <f t="shared" si="16"/>
        <v>1.0980000000000001</v>
      </c>
      <c r="P139">
        <f t="shared" si="17"/>
        <v>1.278</v>
      </c>
      <c r="Q139">
        <f t="shared" si="18"/>
        <v>58.298000000000002</v>
      </c>
      <c r="R139">
        <f t="shared" si="19"/>
        <v>58.478000000000002</v>
      </c>
      <c r="S139">
        <f t="shared" si="20"/>
        <v>57.2</v>
      </c>
    </row>
    <row r="140" spans="1:19" x14ac:dyDescent="0.25">
      <c r="A140">
        <v>2013</v>
      </c>
      <c r="B140">
        <v>0.64</v>
      </c>
      <c r="C140">
        <v>0.71</v>
      </c>
      <c r="D140">
        <f t="shared" si="14"/>
        <v>58.352000000000004</v>
      </c>
      <c r="E140">
        <v>2013</v>
      </c>
      <c r="F140">
        <v>58.544247467640517</v>
      </c>
      <c r="G140">
        <f t="shared" si="15"/>
        <v>57.20000000000001</v>
      </c>
      <c r="L140">
        <v>2013</v>
      </c>
      <c r="M140">
        <v>0.64</v>
      </c>
      <c r="N140">
        <v>0.72</v>
      </c>
      <c r="O140">
        <f t="shared" si="16"/>
        <v>1.1520000000000001</v>
      </c>
      <c r="P140">
        <f t="shared" si="17"/>
        <v>1.296</v>
      </c>
      <c r="Q140">
        <f t="shared" si="18"/>
        <v>58.352000000000004</v>
      </c>
      <c r="R140">
        <f t="shared" si="19"/>
        <v>58.496000000000002</v>
      </c>
      <c r="S140">
        <f t="shared" si="20"/>
        <v>57.2</v>
      </c>
    </row>
    <row r="141" spans="1:19" x14ac:dyDescent="0.25">
      <c r="A141">
        <v>2014</v>
      </c>
      <c r="B141">
        <v>0.73</v>
      </c>
      <c r="C141">
        <v>0.77</v>
      </c>
      <c r="D141">
        <f t="shared" si="14"/>
        <v>58.514000000000003</v>
      </c>
      <c r="E141">
        <v>2014</v>
      </c>
      <c r="F141">
        <v>58.581142267056386</v>
      </c>
      <c r="G141">
        <f t="shared" si="15"/>
        <v>57.20000000000001</v>
      </c>
      <c r="L141">
        <v>2014</v>
      </c>
      <c r="M141">
        <v>0.73</v>
      </c>
      <c r="N141">
        <v>0.74</v>
      </c>
      <c r="O141">
        <f t="shared" si="16"/>
        <v>1.3140000000000001</v>
      </c>
      <c r="P141">
        <f t="shared" si="17"/>
        <v>1.3320000000000001</v>
      </c>
      <c r="Q141">
        <f t="shared" si="18"/>
        <v>58.514000000000003</v>
      </c>
      <c r="R141">
        <f t="shared" si="19"/>
        <v>58.532000000000004</v>
      </c>
      <c r="S141">
        <f t="shared" si="20"/>
        <v>57.2</v>
      </c>
    </row>
    <row r="142" spans="1:19" x14ac:dyDescent="0.25">
      <c r="A142">
        <v>2015</v>
      </c>
      <c r="B142">
        <v>0.86</v>
      </c>
      <c r="C142">
        <v>0.83</v>
      </c>
      <c r="D142">
        <f t="shared" si="14"/>
        <v>58.748000000000005</v>
      </c>
      <c r="E142">
        <v>2015</v>
      </c>
      <c r="F142">
        <v>58.61821448820524</v>
      </c>
      <c r="G142">
        <f t="shared" si="15"/>
        <v>57.20000000000001</v>
      </c>
      <c r="L142">
        <v>2015</v>
      </c>
      <c r="M142">
        <v>0.86</v>
      </c>
      <c r="N142">
        <v>0.76</v>
      </c>
      <c r="O142">
        <f t="shared" si="16"/>
        <v>1.548</v>
      </c>
      <c r="P142">
        <f t="shared" si="17"/>
        <v>1.3680000000000001</v>
      </c>
      <c r="Q142">
        <f t="shared" si="18"/>
        <v>58.748000000000005</v>
      </c>
      <c r="R142">
        <f t="shared" si="19"/>
        <v>58.568000000000005</v>
      </c>
      <c r="S142">
        <f t="shared" si="20"/>
        <v>57.2</v>
      </c>
    </row>
    <row r="143" spans="1:19" x14ac:dyDescent="0.25">
      <c r="A143">
        <v>2016</v>
      </c>
      <c r="B143">
        <v>0.99</v>
      </c>
      <c r="C143">
        <v>0.89</v>
      </c>
      <c r="D143">
        <f t="shared" si="14"/>
        <v>58.981999999999999</v>
      </c>
      <c r="E143">
        <v>2016</v>
      </c>
      <c r="F143">
        <v>58.655612788563168</v>
      </c>
      <c r="G143">
        <f t="shared" si="15"/>
        <v>57.20000000000001</v>
      </c>
      <c r="L143">
        <v>2016</v>
      </c>
      <c r="M143">
        <v>0.98</v>
      </c>
      <c r="N143">
        <v>0.78</v>
      </c>
      <c r="O143">
        <f t="shared" si="16"/>
        <v>1.764</v>
      </c>
      <c r="P143">
        <f t="shared" si="17"/>
        <v>1.4040000000000001</v>
      </c>
      <c r="Q143">
        <f t="shared" si="18"/>
        <v>58.964000000000006</v>
      </c>
      <c r="R143">
        <f t="shared" si="19"/>
        <v>58.604000000000006</v>
      </c>
      <c r="S143">
        <f t="shared" si="20"/>
        <v>57.2</v>
      </c>
    </row>
    <row r="144" spans="1:19" x14ac:dyDescent="0.25">
      <c r="A144">
        <v>2017</v>
      </c>
      <c r="B144">
        <v>0.9</v>
      </c>
      <c r="C144">
        <v>0.95</v>
      </c>
      <c r="D144">
        <f t="shared" si="14"/>
        <v>58.82</v>
      </c>
      <c r="E144">
        <v>2017</v>
      </c>
      <c r="F144">
        <v>58.693437894463955</v>
      </c>
      <c r="G144">
        <f t="shared" si="15"/>
        <v>57.20000000000001</v>
      </c>
      <c r="L144">
        <v>2017</v>
      </c>
      <c r="M144">
        <v>0.89</v>
      </c>
      <c r="N144">
        <v>0.79</v>
      </c>
      <c r="O144">
        <f t="shared" si="16"/>
        <v>1.6020000000000001</v>
      </c>
      <c r="P144">
        <f t="shared" si="17"/>
        <v>1.4220000000000002</v>
      </c>
      <c r="Q144">
        <f t="shared" si="18"/>
        <v>58.802</v>
      </c>
      <c r="R144">
        <f t="shared" si="19"/>
        <v>58.622</v>
      </c>
      <c r="S144">
        <f t="shared" si="20"/>
        <v>57.2</v>
      </c>
    </row>
    <row r="145" spans="14:14" x14ac:dyDescent="0.25">
      <c r="N14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5"/>
  <sheetViews>
    <sheetView workbookViewId="0"/>
  </sheetViews>
  <sheetFormatPr defaultRowHeight="15" x14ac:dyDescent="0.25"/>
  <cols>
    <col min="2" max="2" width="14.28515625" bestFit="1" customWidth="1"/>
    <col min="3" max="3" width="10" bestFit="1" customWidth="1"/>
    <col min="4" max="4" width="11.85546875" customWidth="1"/>
    <col min="5" max="6" width="14.7109375" customWidth="1"/>
    <col min="7" max="7" width="10" bestFit="1" customWidth="1"/>
    <col min="8" max="8" width="12.7109375" customWidth="1"/>
  </cols>
  <sheetData>
    <row r="1" spans="1:11" x14ac:dyDescent="0.25">
      <c r="A1" t="s">
        <v>27</v>
      </c>
    </row>
    <row r="2" spans="1:11" x14ac:dyDescent="0.25">
      <c r="A2" t="s">
        <v>26</v>
      </c>
    </row>
    <row r="3" spans="1:11" x14ac:dyDescent="0.25">
      <c r="A3" s="2">
        <v>43259</v>
      </c>
      <c r="C3" t="s">
        <v>28</v>
      </c>
      <c r="F3">
        <v>14</v>
      </c>
      <c r="G3" t="s">
        <v>29</v>
      </c>
      <c r="H3">
        <v>32</v>
      </c>
    </row>
    <row r="4" spans="1:11" x14ac:dyDescent="0.25">
      <c r="F4">
        <f>+F3*H4+H3</f>
        <v>57.2</v>
      </c>
      <c r="G4" t="s">
        <v>30</v>
      </c>
      <c r="H4">
        <v>1.8</v>
      </c>
    </row>
    <row r="6" spans="1:11" x14ac:dyDescent="0.25">
      <c r="B6" t="s">
        <v>20</v>
      </c>
      <c r="C6" t="s">
        <v>21</v>
      </c>
      <c r="D6" t="s">
        <v>31</v>
      </c>
      <c r="E6" t="s">
        <v>21</v>
      </c>
      <c r="J6" t="s">
        <v>22</v>
      </c>
      <c r="K6" t="s">
        <v>21</v>
      </c>
    </row>
    <row r="7" spans="1:11" x14ac:dyDescent="0.25">
      <c r="A7" t="s">
        <v>23</v>
      </c>
      <c r="B7" t="s">
        <v>24</v>
      </c>
      <c r="C7" t="s">
        <v>25</v>
      </c>
      <c r="D7" t="s">
        <v>24</v>
      </c>
      <c r="E7" t="s">
        <v>25</v>
      </c>
    </row>
    <row r="8" spans="1:11" x14ac:dyDescent="0.25">
      <c r="A8">
        <v>1880</v>
      </c>
      <c r="B8">
        <v>-0.19</v>
      </c>
      <c r="C8">
        <v>-0.12</v>
      </c>
      <c r="D8">
        <f t="shared" ref="D8:D39" si="0">+B8*$H$4</f>
        <v>-0.34200000000000003</v>
      </c>
      <c r="E8">
        <f t="shared" ref="E8:E39" si="1">+C8*$H$4</f>
        <v>-0.216</v>
      </c>
      <c r="F8" s="5">
        <f>+D8+$F$4</f>
        <v>56.858000000000004</v>
      </c>
      <c r="G8" s="5">
        <f>+E8+$F$4</f>
        <v>56.984000000000002</v>
      </c>
      <c r="H8" s="4">
        <f>+F8-$F$4</f>
        <v>-0.34199999999999875</v>
      </c>
      <c r="J8">
        <v>-0.34</v>
      </c>
      <c r="K8">
        <v>-0.22</v>
      </c>
    </row>
    <row r="9" spans="1:11" x14ac:dyDescent="0.25">
      <c r="A9">
        <v>1881</v>
      </c>
      <c r="B9">
        <v>-0.11</v>
      </c>
      <c r="C9">
        <v>-0.15</v>
      </c>
      <c r="D9">
        <f t="shared" si="0"/>
        <v>-0.19800000000000001</v>
      </c>
      <c r="E9">
        <f t="shared" si="1"/>
        <v>-0.27</v>
      </c>
      <c r="F9" s="5">
        <f t="shared" ref="F9:F72" si="2">+D9+$F$4</f>
        <v>57.002000000000002</v>
      </c>
      <c r="G9" s="5">
        <f t="shared" ref="G9:G72" si="3">+E9+$F$4</f>
        <v>56.93</v>
      </c>
      <c r="H9" s="4">
        <f t="shared" ref="H9:H72" si="4">+F9-$F$4</f>
        <v>-0.1980000000000004</v>
      </c>
      <c r="J9">
        <v>-0.2</v>
      </c>
      <c r="K9">
        <v>-0.27</v>
      </c>
    </row>
    <row r="10" spans="1:11" x14ac:dyDescent="0.25">
      <c r="A10">
        <v>1882</v>
      </c>
      <c r="B10">
        <v>-0.11</v>
      </c>
      <c r="C10">
        <v>-0.18</v>
      </c>
      <c r="D10">
        <f t="shared" si="0"/>
        <v>-0.19800000000000001</v>
      </c>
      <c r="E10">
        <f t="shared" si="1"/>
        <v>-0.32400000000000001</v>
      </c>
      <c r="F10" s="5">
        <f t="shared" si="2"/>
        <v>57.002000000000002</v>
      </c>
      <c r="G10" s="5">
        <f t="shared" si="3"/>
        <v>56.876000000000005</v>
      </c>
      <c r="H10" s="4">
        <f t="shared" si="4"/>
        <v>-0.1980000000000004</v>
      </c>
      <c r="J10">
        <v>-0.2</v>
      </c>
      <c r="K10">
        <v>-0.32</v>
      </c>
    </row>
    <row r="11" spans="1:11" x14ac:dyDescent="0.25">
      <c r="A11">
        <v>1883</v>
      </c>
      <c r="B11">
        <v>-0.2</v>
      </c>
      <c r="C11">
        <v>-0.21</v>
      </c>
      <c r="D11">
        <f t="shared" si="0"/>
        <v>-0.36000000000000004</v>
      </c>
      <c r="E11">
        <f t="shared" si="1"/>
        <v>-0.378</v>
      </c>
      <c r="F11" s="5">
        <f t="shared" si="2"/>
        <v>56.84</v>
      </c>
      <c r="G11" s="5">
        <f t="shared" si="3"/>
        <v>56.822000000000003</v>
      </c>
      <c r="H11" s="4">
        <f t="shared" si="4"/>
        <v>-0.35999999999999943</v>
      </c>
      <c r="J11">
        <v>-0.36</v>
      </c>
      <c r="K11">
        <v>-0.38</v>
      </c>
    </row>
    <row r="12" spans="1:11" x14ac:dyDescent="0.25">
      <c r="A12">
        <v>1884</v>
      </c>
      <c r="B12">
        <v>-0.28000000000000003</v>
      </c>
      <c r="C12">
        <v>-0.24</v>
      </c>
      <c r="D12">
        <f t="shared" si="0"/>
        <v>-0.50400000000000011</v>
      </c>
      <c r="E12">
        <f t="shared" si="1"/>
        <v>-0.432</v>
      </c>
      <c r="F12" s="5">
        <f t="shared" si="2"/>
        <v>56.696000000000005</v>
      </c>
      <c r="G12" s="5">
        <f t="shared" si="3"/>
        <v>56.768000000000001</v>
      </c>
      <c r="H12" s="4">
        <f t="shared" si="4"/>
        <v>-0.50399999999999778</v>
      </c>
      <c r="J12">
        <v>-0.5</v>
      </c>
      <c r="K12">
        <v>-0.43</v>
      </c>
    </row>
    <row r="13" spans="1:11" x14ac:dyDescent="0.25">
      <c r="A13">
        <v>1885</v>
      </c>
      <c r="B13">
        <v>-0.32</v>
      </c>
      <c r="C13">
        <v>-0.27</v>
      </c>
      <c r="D13">
        <f t="shared" si="0"/>
        <v>-0.57600000000000007</v>
      </c>
      <c r="E13">
        <f t="shared" si="1"/>
        <v>-0.48600000000000004</v>
      </c>
      <c r="F13" s="5">
        <f t="shared" si="2"/>
        <v>56.624000000000002</v>
      </c>
      <c r="G13" s="5">
        <f t="shared" si="3"/>
        <v>56.714000000000006</v>
      </c>
      <c r="H13" s="4">
        <f t="shared" si="4"/>
        <v>-0.57600000000000051</v>
      </c>
      <c r="J13">
        <v>-0.57999999999999996</v>
      </c>
      <c r="K13">
        <v>-0.49</v>
      </c>
    </row>
    <row r="14" spans="1:11" x14ac:dyDescent="0.25">
      <c r="A14">
        <v>1886</v>
      </c>
      <c r="B14">
        <v>-0.32</v>
      </c>
      <c r="C14">
        <v>-0.27</v>
      </c>
      <c r="D14">
        <f t="shared" si="0"/>
        <v>-0.57600000000000007</v>
      </c>
      <c r="E14">
        <f t="shared" si="1"/>
        <v>-0.48600000000000004</v>
      </c>
      <c r="F14" s="5">
        <f t="shared" si="2"/>
        <v>56.624000000000002</v>
      </c>
      <c r="G14" s="5">
        <f t="shared" si="3"/>
        <v>56.714000000000006</v>
      </c>
      <c r="H14" s="4">
        <f t="shared" si="4"/>
        <v>-0.57600000000000051</v>
      </c>
      <c r="J14">
        <v>-0.57999999999999996</v>
      </c>
      <c r="K14">
        <v>-0.49</v>
      </c>
    </row>
    <row r="15" spans="1:11" x14ac:dyDescent="0.25">
      <c r="A15">
        <v>1887</v>
      </c>
      <c r="B15">
        <v>-0.35</v>
      </c>
      <c r="C15">
        <v>-0.28000000000000003</v>
      </c>
      <c r="D15">
        <f t="shared" si="0"/>
        <v>-0.63</v>
      </c>
      <c r="E15">
        <f t="shared" si="1"/>
        <v>-0.50400000000000011</v>
      </c>
      <c r="F15" s="5">
        <f t="shared" si="2"/>
        <v>56.57</v>
      </c>
      <c r="G15" s="5">
        <f t="shared" si="3"/>
        <v>56.696000000000005</v>
      </c>
      <c r="H15" s="4">
        <f t="shared" si="4"/>
        <v>-0.63000000000000256</v>
      </c>
      <c r="J15">
        <v>-0.63</v>
      </c>
      <c r="K15">
        <v>-0.5</v>
      </c>
    </row>
    <row r="16" spans="1:11" x14ac:dyDescent="0.25">
      <c r="A16">
        <v>1888</v>
      </c>
      <c r="B16">
        <v>-0.19</v>
      </c>
      <c r="C16">
        <v>-0.28000000000000003</v>
      </c>
      <c r="D16">
        <f t="shared" si="0"/>
        <v>-0.34200000000000003</v>
      </c>
      <c r="E16">
        <f t="shared" si="1"/>
        <v>-0.50400000000000011</v>
      </c>
      <c r="F16" s="5">
        <f t="shared" si="2"/>
        <v>56.858000000000004</v>
      </c>
      <c r="G16" s="5">
        <f t="shared" si="3"/>
        <v>56.696000000000005</v>
      </c>
      <c r="H16" s="4">
        <f t="shared" si="4"/>
        <v>-0.34199999999999875</v>
      </c>
      <c r="J16">
        <v>-0.34</v>
      </c>
      <c r="K16">
        <v>-0.5</v>
      </c>
    </row>
    <row r="17" spans="1:11" x14ac:dyDescent="0.25">
      <c r="A17">
        <v>1889</v>
      </c>
      <c r="B17">
        <v>-0.12</v>
      </c>
      <c r="C17">
        <v>-0.27</v>
      </c>
      <c r="D17">
        <f t="shared" si="0"/>
        <v>-0.216</v>
      </c>
      <c r="E17">
        <f t="shared" si="1"/>
        <v>-0.48600000000000004</v>
      </c>
      <c r="F17" s="5">
        <f t="shared" si="2"/>
        <v>56.984000000000002</v>
      </c>
      <c r="G17" s="5">
        <f t="shared" si="3"/>
        <v>56.714000000000006</v>
      </c>
      <c r="H17" s="4">
        <f t="shared" si="4"/>
        <v>-0.21600000000000108</v>
      </c>
      <c r="J17">
        <v>-0.22</v>
      </c>
      <c r="K17">
        <v>-0.49</v>
      </c>
    </row>
    <row r="18" spans="1:11" x14ac:dyDescent="0.25">
      <c r="A18">
        <v>1890</v>
      </c>
      <c r="B18">
        <v>-0.38</v>
      </c>
      <c r="C18">
        <v>-0.27</v>
      </c>
      <c r="D18">
        <f t="shared" si="0"/>
        <v>-0.68400000000000005</v>
      </c>
      <c r="E18">
        <f t="shared" si="1"/>
        <v>-0.48600000000000004</v>
      </c>
      <c r="F18" s="5">
        <f t="shared" si="2"/>
        <v>56.516000000000005</v>
      </c>
      <c r="G18" s="5">
        <f t="shared" si="3"/>
        <v>56.714000000000006</v>
      </c>
      <c r="H18" s="4">
        <f t="shared" si="4"/>
        <v>-0.6839999999999975</v>
      </c>
      <c r="J18">
        <v>-0.68</v>
      </c>
      <c r="K18">
        <v>-0.49</v>
      </c>
    </row>
    <row r="19" spans="1:11" x14ac:dyDescent="0.25">
      <c r="A19">
        <v>1891</v>
      </c>
      <c r="B19">
        <v>-0.25</v>
      </c>
      <c r="C19">
        <v>-0.27</v>
      </c>
      <c r="D19">
        <f t="shared" si="0"/>
        <v>-0.45</v>
      </c>
      <c r="E19">
        <f t="shared" si="1"/>
        <v>-0.48600000000000004</v>
      </c>
      <c r="F19" s="5">
        <f t="shared" si="2"/>
        <v>56.75</v>
      </c>
      <c r="G19" s="5">
        <f t="shared" si="3"/>
        <v>56.714000000000006</v>
      </c>
      <c r="H19" s="4">
        <f t="shared" si="4"/>
        <v>-0.45000000000000284</v>
      </c>
      <c r="J19">
        <v>-0.45</v>
      </c>
      <c r="K19">
        <v>-0.49</v>
      </c>
    </row>
    <row r="20" spans="1:11" x14ac:dyDescent="0.25">
      <c r="A20">
        <v>1892</v>
      </c>
      <c r="B20">
        <v>-0.28000000000000003</v>
      </c>
      <c r="C20">
        <v>-0.28000000000000003</v>
      </c>
      <c r="D20">
        <f t="shared" si="0"/>
        <v>-0.50400000000000011</v>
      </c>
      <c r="E20">
        <f t="shared" si="1"/>
        <v>-0.50400000000000011</v>
      </c>
      <c r="F20" s="5">
        <f t="shared" si="2"/>
        <v>56.696000000000005</v>
      </c>
      <c r="G20" s="5">
        <f t="shared" si="3"/>
        <v>56.696000000000005</v>
      </c>
      <c r="H20" s="4">
        <f t="shared" si="4"/>
        <v>-0.50399999999999778</v>
      </c>
      <c r="J20">
        <v>-0.5</v>
      </c>
      <c r="K20">
        <v>-0.5</v>
      </c>
    </row>
    <row r="21" spans="1:11" x14ac:dyDescent="0.25">
      <c r="A21">
        <v>1893</v>
      </c>
      <c r="B21">
        <v>-0.33</v>
      </c>
      <c r="C21">
        <v>-0.28000000000000003</v>
      </c>
      <c r="D21">
        <f t="shared" si="0"/>
        <v>-0.59400000000000008</v>
      </c>
      <c r="E21">
        <f t="shared" si="1"/>
        <v>-0.50400000000000011</v>
      </c>
      <c r="F21" s="5">
        <f t="shared" si="2"/>
        <v>56.606000000000002</v>
      </c>
      <c r="G21" s="5">
        <f t="shared" si="3"/>
        <v>56.696000000000005</v>
      </c>
      <c r="H21" s="4">
        <f t="shared" si="4"/>
        <v>-0.59400000000000119</v>
      </c>
      <c r="J21">
        <v>-0.59</v>
      </c>
      <c r="K21">
        <v>-0.5</v>
      </c>
    </row>
    <row r="22" spans="1:11" x14ac:dyDescent="0.25">
      <c r="A22">
        <v>1894</v>
      </c>
      <c r="B22">
        <v>-0.32</v>
      </c>
      <c r="C22">
        <v>-0.25</v>
      </c>
      <c r="D22">
        <f t="shared" si="0"/>
        <v>-0.57600000000000007</v>
      </c>
      <c r="E22">
        <f t="shared" si="1"/>
        <v>-0.45</v>
      </c>
      <c r="F22" s="5">
        <f t="shared" si="2"/>
        <v>56.624000000000002</v>
      </c>
      <c r="G22" s="5">
        <f t="shared" si="3"/>
        <v>56.75</v>
      </c>
      <c r="H22" s="4">
        <f t="shared" si="4"/>
        <v>-0.57600000000000051</v>
      </c>
      <c r="J22">
        <v>-0.57999999999999996</v>
      </c>
      <c r="K22">
        <v>-0.45</v>
      </c>
    </row>
    <row r="23" spans="1:11" x14ac:dyDescent="0.25">
      <c r="A23">
        <v>1895</v>
      </c>
      <c r="B23">
        <v>-0.24</v>
      </c>
      <c r="C23">
        <v>-0.24</v>
      </c>
      <c r="D23">
        <f t="shared" si="0"/>
        <v>-0.432</v>
      </c>
      <c r="E23">
        <f t="shared" si="1"/>
        <v>-0.432</v>
      </c>
      <c r="F23" s="5">
        <f t="shared" si="2"/>
        <v>56.768000000000001</v>
      </c>
      <c r="G23" s="5">
        <f t="shared" si="3"/>
        <v>56.768000000000001</v>
      </c>
      <c r="H23" s="4">
        <f t="shared" si="4"/>
        <v>-0.43200000000000216</v>
      </c>
      <c r="J23">
        <v>-0.43</v>
      </c>
      <c r="K23">
        <v>-0.43</v>
      </c>
    </row>
    <row r="24" spans="1:11" x14ac:dyDescent="0.25">
      <c r="A24">
        <v>1896</v>
      </c>
      <c r="B24">
        <v>-0.13</v>
      </c>
      <c r="C24">
        <v>-0.22</v>
      </c>
      <c r="D24">
        <f t="shared" si="0"/>
        <v>-0.23400000000000001</v>
      </c>
      <c r="E24">
        <f t="shared" si="1"/>
        <v>-0.39600000000000002</v>
      </c>
      <c r="F24" s="5">
        <f t="shared" si="2"/>
        <v>56.966000000000001</v>
      </c>
      <c r="G24" s="5">
        <f t="shared" si="3"/>
        <v>56.804000000000002</v>
      </c>
      <c r="H24" s="4">
        <f t="shared" si="4"/>
        <v>-0.23400000000000176</v>
      </c>
      <c r="J24">
        <v>-0.23</v>
      </c>
      <c r="K24">
        <v>-0.4</v>
      </c>
    </row>
    <row r="25" spans="1:11" x14ac:dyDescent="0.25">
      <c r="A25">
        <v>1897</v>
      </c>
      <c r="B25">
        <v>-0.13</v>
      </c>
      <c r="C25">
        <v>-0.2</v>
      </c>
      <c r="D25">
        <f t="shared" si="0"/>
        <v>-0.23400000000000001</v>
      </c>
      <c r="E25">
        <f t="shared" si="1"/>
        <v>-0.36000000000000004</v>
      </c>
      <c r="F25" s="5">
        <f t="shared" si="2"/>
        <v>56.966000000000001</v>
      </c>
      <c r="G25" s="5">
        <f t="shared" si="3"/>
        <v>56.84</v>
      </c>
      <c r="H25" s="4">
        <f t="shared" si="4"/>
        <v>-0.23400000000000176</v>
      </c>
      <c r="J25">
        <v>-0.23</v>
      </c>
      <c r="K25">
        <v>-0.36</v>
      </c>
    </row>
    <row r="26" spans="1:11" x14ac:dyDescent="0.25">
      <c r="A26">
        <v>1898</v>
      </c>
      <c r="B26">
        <v>-0.28000000000000003</v>
      </c>
      <c r="C26">
        <v>-0.18</v>
      </c>
      <c r="D26">
        <f t="shared" si="0"/>
        <v>-0.50400000000000011</v>
      </c>
      <c r="E26">
        <f t="shared" si="1"/>
        <v>-0.32400000000000001</v>
      </c>
      <c r="F26" s="5">
        <f t="shared" si="2"/>
        <v>56.696000000000005</v>
      </c>
      <c r="G26" s="5">
        <f t="shared" si="3"/>
        <v>56.876000000000005</v>
      </c>
      <c r="H26" s="4">
        <f t="shared" si="4"/>
        <v>-0.50399999999999778</v>
      </c>
      <c r="J26">
        <v>-0.5</v>
      </c>
      <c r="K26">
        <v>-0.32</v>
      </c>
    </row>
    <row r="27" spans="1:11" x14ac:dyDescent="0.25">
      <c r="A27">
        <v>1899</v>
      </c>
      <c r="B27">
        <v>-0.19</v>
      </c>
      <c r="C27">
        <v>-0.19</v>
      </c>
      <c r="D27">
        <f t="shared" si="0"/>
        <v>-0.34200000000000003</v>
      </c>
      <c r="E27">
        <f t="shared" si="1"/>
        <v>-0.34200000000000003</v>
      </c>
      <c r="F27" s="5">
        <f t="shared" si="2"/>
        <v>56.858000000000004</v>
      </c>
      <c r="G27" s="5">
        <f t="shared" si="3"/>
        <v>56.858000000000004</v>
      </c>
      <c r="H27" s="4">
        <f t="shared" si="4"/>
        <v>-0.34199999999999875</v>
      </c>
      <c r="J27">
        <v>-0.34</v>
      </c>
      <c r="K27">
        <v>-0.34</v>
      </c>
    </row>
    <row r="28" spans="1:11" x14ac:dyDescent="0.25">
      <c r="A28">
        <v>1900</v>
      </c>
      <c r="B28">
        <v>-0.1</v>
      </c>
      <c r="C28">
        <v>-0.21</v>
      </c>
      <c r="D28">
        <f t="shared" si="0"/>
        <v>-0.18000000000000002</v>
      </c>
      <c r="E28">
        <f t="shared" si="1"/>
        <v>-0.378</v>
      </c>
      <c r="F28" s="5">
        <f t="shared" si="2"/>
        <v>57.02</v>
      </c>
      <c r="G28" s="5">
        <f t="shared" si="3"/>
        <v>56.822000000000003</v>
      </c>
      <c r="H28" s="4">
        <f t="shared" si="4"/>
        <v>-0.17999999999999972</v>
      </c>
      <c r="J28">
        <v>-0.18</v>
      </c>
      <c r="K28">
        <v>-0.38</v>
      </c>
    </row>
    <row r="29" spans="1:11" x14ac:dyDescent="0.25">
      <c r="A29">
        <v>1901</v>
      </c>
      <c r="B29">
        <v>-0.16</v>
      </c>
      <c r="C29">
        <v>-0.25</v>
      </c>
      <c r="D29">
        <f t="shared" si="0"/>
        <v>-0.28800000000000003</v>
      </c>
      <c r="E29">
        <f t="shared" si="1"/>
        <v>-0.45</v>
      </c>
      <c r="F29" s="5">
        <f t="shared" si="2"/>
        <v>56.912000000000006</v>
      </c>
      <c r="G29" s="5">
        <f t="shared" si="3"/>
        <v>56.75</v>
      </c>
      <c r="H29" s="4">
        <f t="shared" si="4"/>
        <v>-0.2879999999999967</v>
      </c>
      <c r="J29">
        <v>-0.28999999999999998</v>
      </c>
      <c r="K29">
        <v>-0.45</v>
      </c>
    </row>
    <row r="30" spans="1:11" x14ac:dyDescent="0.25">
      <c r="A30">
        <v>1902</v>
      </c>
      <c r="B30">
        <v>-0.3</v>
      </c>
      <c r="C30">
        <v>-0.27</v>
      </c>
      <c r="D30">
        <f t="shared" si="0"/>
        <v>-0.54</v>
      </c>
      <c r="E30">
        <f t="shared" si="1"/>
        <v>-0.48600000000000004</v>
      </c>
      <c r="F30" s="5">
        <f t="shared" si="2"/>
        <v>56.660000000000004</v>
      </c>
      <c r="G30" s="5">
        <f t="shared" si="3"/>
        <v>56.714000000000006</v>
      </c>
      <c r="H30" s="4">
        <f t="shared" si="4"/>
        <v>-0.53999999999999915</v>
      </c>
      <c r="J30">
        <v>-0.54</v>
      </c>
      <c r="K30">
        <v>-0.49</v>
      </c>
    </row>
    <row r="31" spans="1:11" x14ac:dyDescent="0.25">
      <c r="A31">
        <v>1903</v>
      </c>
      <c r="B31">
        <v>-0.39</v>
      </c>
      <c r="C31">
        <v>-0.3</v>
      </c>
      <c r="D31">
        <f t="shared" si="0"/>
        <v>-0.70200000000000007</v>
      </c>
      <c r="E31">
        <f t="shared" si="1"/>
        <v>-0.54</v>
      </c>
      <c r="F31" s="5">
        <f t="shared" si="2"/>
        <v>56.498000000000005</v>
      </c>
      <c r="G31" s="5">
        <f t="shared" si="3"/>
        <v>56.660000000000004</v>
      </c>
      <c r="H31" s="4">
        <f t="shared" si="4"/>
        <v>-0.70199999999999818</v>
      </c>
      <c r="J31">
        <v>-0.7</v>
      </c>
      <c r="K31">
        <v>-0.54</v>
      </c>
    </row>
    <row r="32" spans="1:11" x14ac:dyDescent="0.25">
      <c r="A32">
        <v>1904</v>
      </c>
      <c r="B32">
        <v>-0.5</v>
      </c>
      <c r="C32">
        <v>-0.33</v>
      </c>
      <c r="D32">
        <f t="shared" si="0"/>
        <v>-0.9</v>
      </c>
      <c r="E32">
        <f t="shared" si="1"/>
        <v>-0.59400000000000008</v>
      </c>
      <c r="F32" s="5">
        <f t="shared" si="2"/>
        <v>56.300000000000004</v>
      </c>
      <c r="G32" s="5">
        <f t="shared" si="3"/>
        <v>56.606000000000002</v>
      </c>
      <c r="H32" s="4">
        <f t="shared" si="4"/>
        <v>-0.89999999999999858</v>
      </c>
      <c r="J32">
        <v>-0.9</v>
      </c>
      <c r="K32">
        <v>-0.59</v>
      </c>
    </row>
    <row r="33" spans="1:11" x14ac:dyDescent="0.25">
      <c r="A33">
        <v>1905</v>
      </c>
      <c r="B33">
        <v>-0.28000000000000003</v>
      </c>
      <c r="C33">
        <v>-0.35</v>
      </c>
      <c r="D33">
        <f t="shared" si="0"/>
        <v>-0.50400000000000011</v>
      </c>
      <c r="E33">
        <f t="shared" si="1"/>
        <v>-0.63</v>
      </c>
      <c r="F33" s="5">
        <f t="shared" si="2"/>
        <v>56.696000000000005</v>
      </c>
      <c r="G33" s="5">
        <f t="shared" si="3"/>
        <v>56.57</v>
      </c>
      <c r="H33" s="4">
        <f t="shared" si="4"/>
        <v>-0.50399999999999778</v>
      </c>
      <c r="J33">
        <v>-0.5</v>
      </c>
      <c r="K33">
        <v>-0.63</v>
      </c>
    </row>
    <row r="34" spans="1:11" x14ac:dyDescent="0.25">
      <c r="A34">
        <v>1906</v>
      </c>
      <c r="B34">
        <v>-0.23</v>
      </c>
      <c r="C34">
        <v>-0.37</v>
      </c>
      <c r="D34">
        <f t="shared" si="0"/>
        <v>-0.41400000000000003</v>
      </c>
      <c r="E34">
        <f t="shared" si="1"/>
        <v>-0.66600000000000004</v>
      </c>
      <c r="F34" s="5">
        <f t="shared" si="2"/>
        <v>56.786000000000001</v>
      </c>
      <c r="G34" s="5">
        <f t="shared" si="3"/>
        <v>56.534000000000006</v>
      </c>
      <c r="H34" s="4">
        <f t="shared" si="4"/>
        <v>-0.41400000000000148</v>
      </c>
      <c r="J34">
        <v>-0.41</v>
      </c>
      <c r="K34">
        <v>-0.67</v>
      </c>
    </row>
    <row r="35" spans="1:11" x14ac:dyDescent="0.25">
      <c r="A35">
        <v>1907</v>
      </c>
      <c r="B35">
        <v>-0.4</v>
      </c>
      <c r="C35">
        <v>-0.38</v>
      </c>
      <c r="D35">
        <f t="shared" si="0"/>
        <v>-0.72000000000000008</v>
      </c>
      <c r="E35">
        <f t="shared" si="1"/>
        <v>-0.68400000000000005</v>
      </c>
      <c r="F35" s="5">
        <f t="shared" si="2"/>
        <v>56.480000000000004</v>
      </c>
      <c r="G35" s="5">
        <f t="shared" si="3"/>
        <v>56.516000000000005</v>
      </c>
      <c r="H35" s="4">
        <f t="shared" si="4"/>
        <v>-0.71999999999999886</v>
      </c>
      <c r="J35">
        <v>-0.72</v>
      </c>
      <c r="K35">
        <v>-0.68</v>
      </c>
    </row>
    <row r="36" spans="1:11" x14ac:dyDescent="0.25">
      <c r="A36">
        <v>1908</v>
      </c>
      <c r="B36">
        <v>-0.44</v>
      </c>
      <c r="C36">
        <v>-0.4</v>
      </c>
      <c r="D36">
        <f t="shared" si="0"/>
        <v>-0.79200000000000004</v>
      </c>
      <c r="E36">
        <f t="shared" si="1"/>
        <v>-0.72000000000000008</v>
      </c>
      <c r="F36" s="5">
        <f t="shared" si="2"/>
        <v>56.408000000000001</v>
      </c>
      <c r="G36" s="5">
        <f t="shared" si="3"/>
        <v>56.480000000000004</v>
      </c>
      <c r="H36" s="4">
        <f t="shared" si="4"/>
        <v>-0.79200000000000159</v>
      </c>
      <c r="J36">
        <v>-0.79</v>
      </c>
      <c r="K36">
        <v>-0.72</v>
      </c>
    </row>
    <row r="37" spans="1:11" x14ac:dyDescent="0.25">
      <c r="A37">
        <v>1909</v>
      </c>
      <c r="B37">
        <v>-0.48</v>
      </c>
      <c r="C37">
        <v>-0.41</v>
      </c>
      <c r="D37">
        <f t="shared" si="0"/>
        <v>-0.86399999999999999</v>
      </c>
      <c r="E37">
        <f t="shared" si="1"/>
        <v>-0.73799999999999999</v>
      </c>
      <c r="F37" s="5">
        <f t="shared" si="2"/>
        <v>56.336000000000006</v>
      </c>
      <c r="G37" s="5">
        <f t="shared" si="3"/>
        <v>56.462000000000003</v>
      </c>
      <c r="H37" s="4">
        <f t="shared" si="4"/>
        <v>-0.86399999999999721</v>
      </c>
      <c r="J37">
        <v>-0.86</v>
      </c>
      <c r="K37">
        <v>-0.74</v>
      </c>
    </row>
    <row r="38" spans="1:11" x14ac:dyDescent="0.25">
      <c r="A38">
        <v>1910</v>
      </c>
      <c r="B38">
        <v>-0.44</v>
      </c>
      <c r="C38">
        <v>-0.42</v>
      </c>
      <c r="D38">
        <f t="shared" si="0"/>
        <v>-0.79200000000000004</v>
      </c>
      <c r="E38">
        <f t="shared" si="1"/>
        <v>-0.75600000000000001</v>
      </c>
      <c r="F38" s="5">
        <f t="shared" si="2"/>
        <v>56.408000000000001</v>
      </c>
      <c r="G38" s="5">
        <f t="shared" si="3"/>
        <v>56.444000000000003</v>
      </c>
      <c r="H38" s="4">
        <f t="shared" si="4"/>
        <v>-0.79200000000000159</v>
      </c>
      <c r="J38">
        <v>-0.79</v>
      </c>
      <c r="K38">
        <v>-0.76</v>
      </c>
    </row>
    <row r="39" spans="1:11" x14ac:dyDescent="0.25">
      <c r="A39">
        <v>1911</v>
      </c>
      <c r="B39">
        <v>-0.43</v>
      </c>
      <c r="C39">
        <v>-0.39</v>
      </c>
      <c r="D39">
        <f t="shared" si="0"/>
        <v>-0.77400000000000002</v>
      </c>
      <c r="E39">
        <f t="shared" si="1"/>
        <v>-0.70200000000000007</v>
      </c>
      <c r="F39" s="5">
        <f t="shared" si="2"/>
        <v>56.426000000000002</v>
      </c>
      <c r="G39" s="5">
        <f t="shared" si="3"/>
        <v>56.498000000000005</v>
      </c>
      <c r="H39" s="4">
        <f t="shared" si="4"/>
        <v>-0.77400000000000091</v>
      </c>
      <c r="J39">
        <v>-0.77</v>
      </c>
      <c r="K39">
        <v>-0.7</v>
      </c>
    </row>
    <row r="40" spans="1:11" x14ac:dyDescent="0.25">
      <c r="A40">
        <v>1912</v>
      </c>
      <c r="B40">
        <v>-0.36</v>
      </c>
      <c r="C40">
        <v>-0.35</v>
      </c>
      <c r="D40">
        <f t="shared" ref="D40:D71" si="5">+B40*$H$4</f>
        <v>-0.64800000000000002</v>
      </c>
      <c r="E40">
        <f t="shared" ref="E40:E71" si="6">+C40*$H$4</f>
        <v>-0.63</v>
      </c>
      <c r="F40" s="5">
        <f t="shared" si="2"/>
        <v>56.552</v>
      </c>
      <c r="G40" s="5">
        <f t="shared" si="3"/>
        <v>56.57</v>
      </c>
      <c r="H40" s="4">
        <f t="shared" si="4"/>
        <v>-0.64800000000000324</v>
      </c>
      <c r="J40">
        <v>-0.65</v>
      </c>
      <c r="K40">
        <v>-0.63</v>
      </c>
    </row>
    <row r="41" spans="1:11" x14ac:dyDescent="0.25">
      <c r="A41">
        <v>1913</v>
      </c>
      <c r="B41">
        <v>-0.35</v>
      </c>
      <c r="C41">
        <v>-0.32</v>
      </c>
      <c r="D41">
        <f t="shared" si="5"/>
        <v>-0.63</v>
      </c>
      <c r="E41">
        <f t="shared" si="6"/>
        <v>-0.57600000000000007</v>
      </c>
      <c r="F41" s="5">
        <f t="shared" si="2"/>
        <v>56.57</v>
      </c>
      <c r="G41" s="5">
        <f t="shared" si="3"/>
        <v>56.624000000000002</v>
      </c>
      <c r="H41" s="4">
        <f t="shared" si="4"/>
        <v>-0.63000000000000256</v>
      </c>
      <c r="J41">
        <v>-0.63</v>
      </c>
      <c r="K41">
        <v>-0.57999999999999996</v>
      </c>
    </row>
    <row r="42" spans="1:11" x14ac:dyDescent="0.25">
      <c r="A42">
        <v>1914</v>
      </c>
      <c r="B42">
        <v>-0.16</v>
      </c>
      <c r="C42">
        <v>-0.31</v>
      </c>
      <c r="D42">
        <f t="shared" si="5"/>
        <v>-0.28800000000000003</v>
      </c>
      <c r="E42">
        <f t="shared" si="6"/>
        <v>-0.55800000000000005</v>
      </c>
      <c r="F42" s="5">
        <f t="shared" si="2"/>
        <v>56.912000000000006</v>
      </c>
      <c r="G42" s="5">
        <f t="shared" si="3"/>
        <v>56.642000000000003</v>
      </c>
      <c r="H42" s="4">
        <f t="shared" si="4"/>
        <v>-0.2879999999999967</v>
      </c>
      <c r="J42">
        <v>-0.28999999999999998</v>
      </c>
      <c r="K42">
        <v>-0.56000000000000005</v>
      </c>
    </row>
    <row r="43" spans="1:11" x14ac:dyDescent="0.25">
      <c r="A43">
        <v>1915</v>
      </c>
      <c r="B43">
        <v>-0.12</v>
      </c>
      <c r="C43">
        <v>-0.28999999999999998</v>
      </c>
      <c r="D43">
        <f t="shared" si="5"/>
        <v>-0.216</v>
      </c>
      <c r="E43">
        <f t="shared" si="6"/>
        <v>-0.52200000000000002</v>
      </c>
      <c r="F43" s="5">
        <f t="shared" si="2"/>
        <v>56.984000000000002</v>
      </c>
      <c r="G43" s="5">
        <f t="shared" si="3"/>
        <v>56.678000000000004</v>
      </c>
      <c r="H43" s="4">
        <f t="shared" si="4"/>
        <v>-0.21600000000000108</v>
      </c>
      <c r="J43">
        <v>-0.22</v>
      </c>
      <c r="K43">
        <v>-0.52</v>
      </c>
    </row>
    <row r="44" spans="1:11" x14ac:dyDescent="0.25">
      <c r="A44">
        <v>1916</v>
      </c>
      <c r="B44">
        <v>-0.33</v>
      </c>
      <c r="C44">
        <v>-0.28000000000000003</v>
      </c>
      <c r="D44">
        <f t="shared" si="5"/>
        <v>-0.59400000000000008</v>
      </c>
      <c r="E44">
        <f t="shared" si="6"/>
        <v>-0.50400000000000011</v>
      </c>
      <c r="F44" s="5">
        <f t="shared" si="2"/>
        <v>56.606000000000002</v>
      </c>
      <c r="G44" s="5">
        <f t="shared" si="3"/>
        <v>56.696000000000005</v>
      </c>
      <c r="H44" s="4">
        <f t="shared" si="4"/>
        <v>-0.59400000000000119</v>
      </c>
      <c r="J44">
        <v>-0.59</v>
      </c>
      <c r="K44">
        <v>-0.5</v>
      </c>
    </row>
    <row r="45" spans="1:11" x14ac:dyDescent="0.25">
      <c r="A45">
        <v>1917</v>
      </c>
      <c r="B45">
        <v>-0.44</v>
      </c>
      <c r="C45">
        <v>-0.28000000000000003</v>
      </c>
      <c r="D45">
        <f t="shared" si="5"/>
        <v>-0.79200000000000004</v>
      </c>
      <c r="E45">
        <f t="shared" si="6"/>
        <v>-0.50400000000000011</v>
      </c>
      <c r="F45" s="5">
        <f t="shared" si="2"/>
        <v>56.408000000000001</v>
      </c>
      <c r="G45" s="5">
        <f t="shared" si="3"/>
        <v>56.696000000000005</v>
      </c>
      <c r="H45" s="4">
        <f t="shared" si="4"/>
        <v>-0.79200000000000159</v>
      </c>
      <c r="J45">
        <v>-0.79</v>
      </c>
      <c r="K45">
        <v>-0.5</v>
      </c>
    </row>
    <row r="46" spans="1:11" x14ac:dyDescent="0.25">
      <c r="A46">
        <v>1918</v>
      </c>
      <c r="B46">
        <v>-0.28000000000000003</v>
      </c>
      <c r="C46">
        <v>-0.28000000000000003</v>
      </c>
      <c r="D46">
        <f t="shared" si="5"/>
        <v>-0.50400000000000011</v>
      </c>
      <c r="E46">
        <f t="shared" si="6"/>
        <v>-0.50400000000000011</v>
      </c>
      <c r="F46" s="5">
        <f t="shared" si="2"/>
        <v>56.696000000000005</v>
      </c>
      <c r="G46" s="5">
        <f t="shared" si="3"/>
        <v>56.696000000000005</v>
      </c>
      <c r="H46" s="4">
        <f t="shared" si="4"/>
        <v>-0.50399999999999778</v>
      </c>
      <c r="J46">
        <v>-0.5</v>
      </c>
      <c r="K46">
        <v>-0.5</v>
      </c>
    </row>
    <row r="47" spans="1:11" x14ac:dyDescent="0.25">
      <c r="A47">
        <v>1919</v>
      </c>
      <c r="B47">
        <v>-0.27</v>
      </c>
      <c r="C47">
        <v>-0.28000000000000003</v>
      </c>
      <c r="D47">
        <f t="shared" si="5"/>
        <v>-0.48600000000000004</v>
      </c>
      <c r="E47">
        <f t="shared" si="6"/>
        <v>-0.50400000000000011</v>
      </c>
      <c r="F47" s="5">
        <f t="shared" si="2"/>
        <v>56.714000000000006</v>
      </c>
      <c r="G47" s="5">
        <f t="shared" si="3"/>
        <v>56.696000000000005</v>
      </c>
      <c r="H47" s="4">
        <f t="shared" si="4"/>
        <v>-0.4859999999999971</v>
      </c>
      <c r="J47">
        <v>-0.49</v>
      </c>
      <c r="K47">
        <v>-0.5</v>
      </c>
    </row>
    <row r="48" spans="1:11" x14ac:dyDescent="0.25">
      <c r="A48">
        <v>1920</v>
      </c>
      <c r="B48">
        <v>-0.26</v>
      </c>
      <c r="C48">
        <v>-0.26</v>
      </c>
      <c r="D48">
        <f t="shared" si="5"/>
        <v>-0.46800000000000003</v>
      </c>
      <c r="E48">
        <f t="shared" si="6"/>
        <v>-0.46800000000000003</v>
      </c>
      <c r="F48" s="5">
        <f t="shared" si="2"/>
        <v>56.731999999999999</v>
      </c>
      <c r="G48" s="5">
        <f t="shared" si="3"/>
        <v>56.731999999999999</v>
      </c>
      <c r="H48" s="4">
        <f t="shared" si="4"/>
        <v>-0.46800000000000352</v>
      </c>
      <c r="J48">
        <v>-0.47</v>
      </c>
      <c r="K48">
        <v>-0.47</v>
      </c>
    </row>
    <row r="49" spans="1:11" x14ac:dyDescent="0.25">
      <c r="A49">
        <v>1921</v>
      </c>
      <c r="B49">
        <v>-0.18</v>
      </c>
      <c r="C49">
        <v>-0.25</v>
      </c>
      <c r="D49">
        <f t="shared" si="5"/>
        <v>-0.32400000000000001</v>
      </c>
      <c r="E49">
        <f t="shared" si="6"/>
        <v>-0.45</v>
      </c>
      <c r="F49" s="5">
        <f t="shared" si="2"/>
        <v>56.876000000000005</v>
      </c>
      <c r="G49" s="5">
        <f t="shared" si="3"/>
        <v>56.75</v>
      </c>
      <c r="H49" s="4">
        <f t="shared" si="4"/>
        <v>-0.32399999999999807</v>
      </c>
      <c r="J49">
        <v>-0.32</v>
      </c>
      <c r="K49">
        <v>-0.45</v>
      </c>
    </row>
    <row r="50" spans="1:11" x14ac:dyDescent="0.25">
      <c r="A50">
        <v>1922</v>
      </c>
      <c r="B50">
        <v>-0.27</v>
      </c>
      <c r="C50">
        <v>-0.24</v>
      </c>
      <c r="D50">
        <f t="shared" si="5"/>
        <v>-0.48600000000000004</v>
      </c>
      <c r="E50">
        <f t="shared" si="6"/>
        <v>-0.432</v>
      </c>
      <c r="F50" s="5">
        <f t="shared" si="2"/>
        <v>56.714000000000006</v>
      </c>
      <c r="G50" s="5">
        <f t="shared" si="3"/>
        <v>56.768000000000001</v>
      </c>
      <c r="H50" s="4">
        <f t="shared" si="4"/>
        <v>-0.4859999999999971</v>
      </c>
      <c r="J50">
        <v>-0.49</v>
      </c>
      <c r="K50">
        <v>-0.43</v>
      </c>
    </row>
    <row r="51" spans="1:11" x14ac:dyDescent="0.25">
      <c r="A51">
        <v>1923</v>
      </c>
      <c r="B51">
        <v>-0.25</v>
      </c>
      <c r="C51">
        <v>-0.23</v>
      </c>
      <c r="D51">
        <f t="shared" si="5"/>
        <v>-0.45</v>
      </c>
      <c r="E51">
        <f t="shared" si="6"/>
        <v>-0.41400000000000003</v>
      </c>
      <c r="F51" s="5">
        <f t="shared" si="2"/>
        <v>56.75</v>
      </c>
      <c r="G51" s="5">
        <f t="shared" si="3"/>
        <v>56.786000000000001</v>
      </c>
      <c r="H51" s="4">
        <f t="shared" si="4"/>
        <v>-0.45000000000000284</v>
      </c>
      <c r="J51">
        <v>-0.45</v>
      </c>
      <c r="K51">
        <v>-0.41</v>
      </c>
    </row>
    <row r="52" spans="1:11" x14ac:dyDescent="0.25">
      <c r="A52">
        <v>1924</v>
      </c>
      <c r="B52">
        <v>-0.26</v>
      </c>
      <c r="C52">
        <v>-0.22</v>
      </c>
      <c r="D52">
        <f t="shared" si="5"/>
        <v>-0.46800000000000003</v>
      </c>
      <c r="E52">
        <f t="shared" si="6"/>
        <v>-0.39600000000000002</v>
      </c>
      <c r="F52" s="5">
        <f t="shared" si="2"/>
        <v>56.731999999999999</v>
      </c>
      <c r="G52" s="5">
        <f t="shared" si="3"/>
        <v>56.804000000000002</v>
      </c>
      <c r="H52" s="4">
        <f t="shared" si="4"/>
        <v>-0.46800000000000352</v>
      </c>
      <c r="J52">
        <v>-0.47</v>
      </c>
      <c r="K52">
        <v>-0.4</v>
      </c>
    </row>
    <row r="53" spans="1:11" x14ac:dyDescent="0.25">
      <c r="A53">
        <v>1925</v>
      </c>
      <c r="B53">
        <v>-0.21</v>
      </c>
      <c r="C53">
        <v>-0.21</v>
      </c>
      <c r="D53">
        <f t="shared" si="5"/>
        <v>-0.378</v>
      </c>
      <c r="E53">
        <f t="shared" si="6"/>
        <v>-0.378</v>
      </c>
      <c r="F53" s="5">
        <f t="shared" si="2"/>
        <v>56.822000000000003</v>
      </c>
      <c r="G53" s="5">
        <f t="shared" si="3"/>
        <v>56.822000000000003</v>
      </c>
      <c r="H53" s="4">
        <f t="shared" si="4"/>
        <v>-0.37800000000000011</v>
      </c>
      <c r="J53">
        <v>-0.38</v>
      </c>
      <c r="K53">
        <v>-0.38</v>
      </c>
    </row>
    <row r="54" spans="1:11" x14ac:dyDescent="0.25">
      <c r="A54">
        <v>1926</v>
      </c>
      <c r="B54">
        <v>-0.09</v>
      </c>
      <c r="C54">
        <v>-0.21</v>
      </c>
      <c r="D54">
        <f t="shared" si="5"/>
        <v>-0.16200000000000001</v>
      </c>
      <c r="E54">
        <f t="shared" si="6"/>
        <v>-0.378</v>
      </c>
      <c r="F54" s="5">
        <f t="shared" si="2"/>
        <v>57.038000000000004</v>
      </c>
      <c r="G54" s="5">
        <f t="shared" si="3"/>
        <v>56.822000000000003</v>
      </c>
      <c r="H54" s="4">
        <f t="shared" si="4"/>
        <v>-0.16199999999999903</v>
      </c>
      <c r="J54">
        <v>-0.16</v>
      </c>
      <c r="K54">
        <v>-0.38</v>
      </c>
    </row>
    <row r="55" spans="1:11" x14ac:dyDescent="0.25">
      <c r="A55">
        <v>1927</v>
      </c>
      <c r="B55">
        <v>-0.2</v>
      </c>
      <c r="C55">
        <v>-0.2</v>
      </c>
      <c r="D55">
        <f t="shared" si="5"/>
        <v>-0.36000000000000004</v>
      </c>
      <c r="E55">
        <f t="shared" si="6"/>
        <v>-0.36000000000000004</v>
      </c>
      <c r="F55" s="5">
        <f t="shared" si="2"/>
        <v>56.84</v>
      </c>
      <c r="G55" s="5">
        <f t="shared" si="3"/>
        <v>56.84</v>
      </c>
      <c r="H55" s="4">
        <f t="shared" si="4"/>
        <v>-0.35999999999999943</v>
      </c>
      <c r="J55">
        <v>-0.36</v>
      </c>
      <c r="K55">
        <v>-0.36</v>
      </c>
    </row>
    <row r="56" spans="1:11" x14ac:dyDescent="0.25">
      <c r="A56">
        <v>1928</v>
      </c>
      <c r="B56">
        <v>-0.19</v>
      </c>
      <c r="C56">
        <v>-0.19</v>
      </c>
      <c r="D56">
        <f t="shared" si="5"/>
        <v>-0.34200000000000003</v>
      </c>
      <c r="E56">
        <f t="shared" si="6"/>
        <v>-0.34200000000000003</v>
      </c>
      <c r="F56" s="5">
        <f t="shared" si="2"/>
        <v>56.858000000000004</v>
      </c>
      <c r="G56" s="5">
        <f t="shared" si="3"/>
        <v>56.858000000000004</v>
      </c>
      <c r="H56" s="4">
        <f t="shared" si="4"/>
        <v>-0.34199999999999875</v>
      </c>
      <c r="J56">
        <v>-0.34</v>
      </c>
      <c r="K56">
        <v>-0.34</v>
      </c>
    </row>
    <row r="57" spans="1:11" x14ac:dyDescent="0.25">
      <c r="A57">
        <v>1929</v>
      </c>
      <c r="B57">
        <v>-0.35</v>
      </c>
      <c r="C57">
        <v>-0.18</v>
      </c>
      <c r="D57">
        <f t="shared" si="5"/>
        <v>-0.63</v>
      </c>
      <c r="E57">
        <f t="shared" si="6"/>
        <v>-0.32400000000000001</v>
      </c>
      <c r="F57" s="5">
        <f t="shared" si="2"/>
        <v>56.57</v>
      </c>
      <c r="G57" s="5">
        <f t="shared" si="3"/>
        <v>56.876000000000005</v>
      </c>
      <c r="H57" s="4">
        <f t="shared" si="4"/>
        <v>-0.63000000000000256</v>
      </c>
      <c r="J57">
        <v>-0.63</v>
      </c>
      <c r="K57">
        <v>-0.32</v>
      </c>
    </row>
    <row r="58" spans="1:11" x14ac:dyDescent="0.25">
      <c r="A58">
        <v>1930</v>
      </c>
      <c r="B58">
        <v>-0.15</v>
      </c>
      <c r="C58">
        <v>-0.19</v>
      </c>
      <c r="D58">
        <f t="shared" si="5"/>
        <v>-0.27</v>
      </c>
      <c r="E58">
        <f t="shared" si="6"/>
        <v>-0.34200000000000003</v>
      </c>
      <c r="F58" s="5">
        <f t="shared" si="2"/>
        <v>56.93</v>
      </c>
      <c r="G58" s="5">
        <f t="shared" si="3"/>
        <v>56.858000000000004</v>
      </c>
      <c r="H58" s="4">
        <f t="shared" si="4"/>
        <v>-0.27000000000000313</v>
      </c>
      <c r="J58">
        <v>-0.27</v>
      </c>
      <c r="K58">
        <v>-0.34</v>
      </c>
    </row>
    <row r="59" spans="1:11" x14ac:dyDescent="0.25">
      <c r="A59">
        <v>1931</v>
      </c>
      <c r="B59">
        <v>-0.1</v>
      </c>
      <c r="C59">
        <v>-0.19</v>
      </c>
      <c r="D59">
        <f t="shared" si="5"/>
        <v>-0.18000000000000002</v>
      </c>
      <c r="E59">
        <f t="shared" si="6"/>
        <v>-0.34200000000000003</v>
      </c>
      <c r="F59" s="5">
        <f t="shared" si="2"/>
        <v>57.02</v>
      </c>
      <c r="G59" s="5">
        <f t="shared" si="3"/>
        <v>56.858000000000004</v>
      </c>
      <c r="H59" s="4">
        <f t="shared" si="4"/>
        <v>-0.17999999999999972</v>
      </c>
      <c r="J59">
        <v>-0.18</v>
      </c>
      <c r="K59">
        <v>-0.34</v>
      </c>
    </row>
    <row r="60" spans="1:11" x14ac:dyDescent="0.25">
      <c r="A60">
        <v>1932</v>
      </c>
      <c r="B60">
        <v>-0.17</v>
      </c>
      <c r="C60">
        <v>-0.18</v>
      </c>
      <c r="D60">
        <f t="shared" si="5"/>
        <v>-0.30600000000000005</v>
      </c>
      <c r="E60">
        <f t="shared" si="6"/>
        <v>-0.32400000000000001</v>
      </c>
      <c r="F60" s="5">
        <f t="shared" si="2"/>
        <v>56.894000000000005</v>
      </c>
      <c r="G60" s="5">
        <f t="shared" si="3"/>
        <v>56.876000000000005</v>
      </c>
      <c r="H60" s="4">
        <f t="shared" si="4"/>
        <v>-0.30599999999999739</v>
      </c>
      <c r="J60">
        <v>-0.31</v>
      </c>
      <c r="K60">
        <v>-0.32</v>
      </c>
    </row>
    <row r="61" spans="1:11" x14ac:dyDescent="0.25">
      <c r="A61">
        <v>1933</v>
      </c>
      <c r="B61">
        <v>-0.3</v>
      </c>
      <c r="C61">
        <v>-0.18</v>
      </c>
      <c r="D61">
        <f t="shared" si="5"/>
        <v>-0.54</v>
      </c>
      <c r="E61">
        <f t="shared" si="6"/>
        <v>-0.32400000000000001</v>
      </c>
      <c r="F61" s="5">
        <f t="shared" si="2"/>
        <v>56.660000000000004</v>
      </c>
      <c r="G61" s="5">
        <f t="shared" si="3"/>
        <v>56.876000000000005</v>
      </c>
      <c r="H61" s="4">
        <f t="shared" si="4"/>
        <v>-0.53999999999999915</v>
      </c>
      <c r="J61">
        <v>-0.54</v>
      </c>
      <c r="K61">
        <v>-0.32</v>
      </c>
    </row>
    <row r="62" spans="1:11" x14ac:dyDescent="0.25">
      <c r="A62">
        <v>1934</v>
      </c>
      <c r="B62">
        <v>-0.14000000000000001</v>
      </c>
      <c r="C62">
        <v>-0.17</v>
      </c>
      <c r="D62">
        <f t="shared" si="5"/>
        <v>-0.25200000000000006</v>
      </c>
      <c r="E62">
        <f t="shared" si="6"/>
        <v>-0.30600000000000005</v>
      </c>
      <c r="F62" s="5">
        <f t="shared" si="2"/>
        <v>56.948</v>
      </c>
      <c r="G62" s="5">
        <f t="shared" si="3"/>
        <v>56.894000000000005</v>
      </c>
      <c r="H62" s="4">
        <f t="shared" si="4"/>
        <v>-0.25200000000000244</v>
      </c>
      <c r="J62">
        <v>-0.25</v>
      </c>
      <c r="K62">
        <v>-0.31</v>
      </c>
    </row>
    <row r="63" spans="1:11" x14ac:dyDescent="0.25">
      <c r="A63">
        <v>1935</v>
      </c>
      <c r="B63">
        <v>-0.21</v>
      </c>
      <c r="C63">
        <v>-0.15</v>
      </c>
      <c r="D63">
        <f t="shared" si="5"/>
        <v>-0.378</v>
      </c>
      <c r="E63">
        <f t="shared" si="6"/>
        <v>-0.27</v>
      </c>
      <c r="F63" s="5">
        <f t="shared" si="2"/>
        <v>56.822000000000003</v>
      </c>
      <c r="G63" s="5">
        <f t="shared" si="3"/>
        <v>56.93</v>
      </c>
      <c r="H63" s="4">
        <f t="shared" si="4"/>
        <v>-0.37800000000000011</v>
      </c>
      <c r="J63">
        <v>-0.38</v>
      </c>
      <c r="K63">
        <v>-0.27</v>
      </c>
    </row>
    <row r="64" spans="1:11" x14ac:dyDescent="0.25">
      <c r="A64">
        <v>1936</v>
      </c>
      <c r="B64">
        <v>-0.16</v>
      </c>
      <c r="C64">
        <v>-0.12</v>
      </c>
      <c r="D64">
        <f t="shared" si="5"/>
        <v>-0.28800000000000003</v>
      </c>
      <c r="E64">
        <f t="shared" si="6"/>
        <v>-0.216</v>
      </c>
      <c r="F64" s="5">
        <f t="shared" si="2"/>
        <v>56.912000000000006</v>
      </c>
      <c r="G64" s="5">
        <f t="shared" si="3"/>
        <v>56.984000000000002</v>
      </c>
      <c r="H64" s="4">
        <f t="shared" si="4"/>
        <v>-0.2879999999999967</v>
      </c>
      <c r="J64">
        <v>-0.28999999999999998</v>
      </c>
      <c r="K64">
        <v>-0.22</v>
      </c>
    </row>
    <row r="65" spans="1:11" x14ac:dyDescent="0.25">
      <c r="A65">
        <v>1937</v>
      </c>
      <c r="B65">
        <v>-0.04</v>
      </c>
      <c r="C65">
        <v>-0.08</v>
      </c>
      <c r="D65">
        <f t="shared" si="5"/>
        <v>-7.2000000000000008E-2</v>
      </c>
      <c r="E65">
        <f t="shared" si="6"/>
        <v>-0.14400000000000002</v>
      </c>
      <c r="F65" s="5">
        <f t="shared" si="2"/>
        <v>57.128</v>
      </c>
      <c r="G65" s="5">
        <f t="shared" si="3"/>
        <v>57.056000000000004</v>
      </c>
      <c r="H65" s="4">
        <f t="shared" si="4"/>
        <v>-7.2000000000002728E-2</v>
      </c>
      <c r="J65">
        <v>-7.0000000000000007E-2</v>
      </c>
      <c r="K65">
        <v>-0.14000000000000001</v>
      </c>
    </row>
    <row r="66" spans="1:11" x14ac:dyDescent="0.25">
      <c r="A66">
        <v>1938</v>
      </c>
      <c r="B66">
        <v>-0.03</v>
      </c>
      <c r="C66">
        <v>-0.03</v>
      </c>
      <c r="D66">
        <f t="shared" si="5"/>
        <v>-5.3999999999999999E-2</v>
      </c>
      <c r="E66">
        <f t="shared" si="6"/>
        <v>-5.3999999999999999E-2</v>
      </c>
      <c r="F66" s="5">
        <f t="shared" si="2"/>
        <v>57.146000000000001</v>
      </c>
      <c r="G66" s="5">
        <f t="shared" si="3"/>
        <v>57.146000000000001</v>
      </c>
      <c r="H66" s="4">
        <f t="shared" si="4"/>
        <v>-5.4000000000002046E-2</v>
      </c>
      <c r="J66">
        <v>-0.05</v>
      </c>
      <c r="K66">
        <v>-0.05</v>
      </c>
    </row>
    <row r="67" spans="1:11" x14ac:dyDescent="0.25">
      <c r="A67">
        <v>1939</v>
      </c>
      <c r="B67">
        <v>-0.03</v>
      </c>
      <c r="C67">
        <v>0.01</v>
      </c>
      <c r="D67">
        <f t="shared" si="5"/>
        <v>-5.3999999999999999E-2</v>
      </c>
      <c r="E67">
        <f t="shared" si="6"/>
        <v>1.8000000000000002E-2</v>
      </c>
      <c r="F67" s="5">
        <f t="shared" si="2"/>
        <v>57.146000000000001</v>
      </c>
      <c r="G67" s="5">
        <f t="shared" si="3"/>
        <v>57.218000000000004</v>
      </c>
      <c r="H67" s="4">
        <f t="shared" si="4"/>
        <v>-5.4000000000002046E-2</v>
      </c>
      <c r="J67">
        <v>-0.05</v>
      </c>
      <c r="K67">
        <v>0.02</v>
      </c>
    </row>
    <row r="68" spans="1:11" x14ac:dyDescent="0.25">
      <c r="A68">
        <v>1940</v>
      </c>
      <c r="B68">
        <v>0.11</v>
      </c>
      <c r="C68">
        <v>0.05</v>
      </c>
      <c r="D68">
        <f t="shared" si="5"/>
        <v>0.19800000000000001</v>
      </c>
      <c r="E68">
        <f t="shared" si="6"/>
        <v>9.0000000000000011E-2</v>
      </c>
      <c r="F68" s="5">
        <f t="shared" si="2"/>
        <v>57.398000000000003</v>
      </c>
      <c r="G68" s="5">
        <f t="shared" si="3"/>
        <v>57.290000000000006</v>
      </c>
      <c r="H68" s="4">
        <f t="shared" si="4"/>
        <v>0.1980000000000004</v>
      </c>
      <c r="J68">
        <v>0.2</v>
      </c>
      <c r="K68">
        <v>0.09</v>
      </c>
    </row>
    <row r="69" spans="1:11" x14ac:dyDescent="0.25">
      <c r="A69">
        <v>1941</v>
      </c>
      <c r="B69">
        <v>0.18</v>
      </c>
      <c r="C69">
        <v>7.0000000000000007E-2</v>
      </c>
      <c r="D69">
        <f t="shared" si="5"/>
        <v>0.32400000000000001</v>
      </c>
      <c r="E69">
        <f t="shared" si="6"/>
        <v>0.12600000000000003</v>
      </c>
      <c r="F69" s="5">
        <f t="shared" si="2"/>
        <v>57.524000000000001</v>
      </c>
      <c r="G69" s="5">
        <f t="shared" si="3"/>
        <v>57.326000000000001</v>
      </c>
      <c r="H69" s="4">
        <f t="shared" si="4"/>
        <v>0.32399999999999807</v>
      </c>
      <c r="J69">
        <v>0.32</v>
      </c>
      <c r="K69">
        <v>0.13</v>
      </c>
    </row>
    <row r="70" spans="1:11" x14ac:dyDescent="0.25">
      <c r="A70">
        <v>1942</v>
      </c>
      <c r="B70">
        <v>0.05</v>
      </c>
      <c r="C70">
        <v>0.09</v>
      </c>
      <c r="D70">
        <f t="shared" si="5"/>
        <v>9.0000000000000011E-2</v>
      </c>
      <c r="E70">
        <f t="shared" si="6"/>
        <v>0.16200000000000001</v>
      </c>
      <c r="F70" s="5">
        <f t="shared" si="2"/>
        <v>57.290000000000006</v>
      </c>
      <c r="G70" s="5">
        <f t="shared" si="3"/>
        <v>57.362000000000002</v>
      </c>
      <c r="H70" s="4">
        <f t="shared" si="4"/>
        <v>9.0000000000003411E-2</v>
      </c>
      <c r="J70">
        <v>0.09</v>
      </c>
      <c r="K70">
        <v>0.16</v>
      </c>
    </row>
    <row r="71" spans="1:11" x14ac:dyDescent="0.25">
      <c r="A71">
        <v>1943</v>
      </c>
      <c r="B71">
        <v>7.0000000000000007E-2</v>
      </c>
      <c r="C71">
        <v>0.09</v>
      </c>
      <c r="D71">
        <f t="shared" si="5"/>
        <v>0.12600000000000003</v>
      </c>
      <c r="E71">
        <f t="shared" si="6"/>
        <v>0.16200000000000001</v>
      </c>
      <c r="F71" s="5">
        <f t="shared" si="2"/>
        <v>57.326000000000001</v>
      </c>
      <c r="G71" s="5">
        <f t="shared" si="3"/>
        <v>57.362000000000002</v>
      </c>
      <c r="H71" s="4">
        <f t="shared" si="4"/>
        <v>0.12599999999999767</v>
      </c>
      <c r="J71">
        <v>0.13</v>
      </c>
      <c r="K71">
        <v>0.16</v>
      </c>
    </row>
    <row r="72" spans="1:11" x14ac:dyDescent="0.25">
      <c r="A72">
        <v>1944</v>
      </c>
      <c r="B72">
        <v>0.2</v>
      </c>
      <c r="C72">
        <v>0.06</v>
      </c>
      <c r="D72">
        <f t="shared" ref="D72:D103" si="7">+B72*$H$4</f>
        <v>0.36000000000000004</v>
      </c>
      <c r="E72">
        <f t="shared" ref="E72:E103" si="8">+C72*$H$4</f>
        <v>0.108</v>
      </c>
      <c r="F72" s="5">
        <f t="shared" si="2"/>
        <v>57.56</v>
      </c>
      <c r="G72" s="5">
        <f t="shared" si="3"/>
        <v>57.308</v>
      </c>
      <c r="H72" s="4">
        <f t="shared" si="4"/>
        <v>0.35999999999999943</v>
      </c>
      <c r="J72">
        <v>0.36</v>
      </c>
      <c r="K72">
        <v>0.11</v>
      </c>
    </row>
    <row r="73" spans="1:11" x14ac:dyDescent="0.25">
      <c r="A73">
        <v>1945</v>
      </c>
      <c r="B73">
        <v>0.08</v>
      </c>
      <c r="C73">
        <v>0.03</v>
      </c>
      <c r="D73">
        <f t="shared" si="7"/>
        <v>0.14400000000000002</v>
      </c>
      <c r="E73">
        <f t="shared" si="8"/>
        <v>5.3999999999999999E-2</v>
      </c>
      <c r="F73" s="5">
        <f t="shared" ref="F73:F136" si="9">+D73+$F$4</f>
        <v>57.344000000000001</v>
      </c>
      <c r="G73" s="5">
        <f t="shared" ref="G73:G136" si="10">+E73+$F$4</f>
        <v>57.254000000000005</v>
      </c>
      <c r="H73" s="4">
        <f t="shared" ref="H73:H136" si="11">+F73-$F$4</f>
        <v>0.14399999999999835</v>
      </c>
      <c r="J73">
        <v>0.14000000000000001</v>
      </c>
      <c r="K73">
        <v>0.05</v>
      </c>
    </row>
    <row r="74" spans="1:11" x14ac:dyDescent="0.25">
      <c r="A74">
        <v>1946</v>
      </c>
      <c r="B74">
        <v>-7.0000000000000007E-2</v>
      </c>
      <c r="C74">
        <v>0</v>
      </c>
      <c r="D74">
        <f t="shared" si="7"/>
        <v>-0.12600000000000003</v>
      </c>
      <c r="E74">
        <f t="shared" si="8"/>
        <v>0</v>
      </c>
      <c r="F74" s="5">
        <f t="shared" si="9"/>
        <v>57.074000000000005</v>
      </c>
      <c r="G74" s="5">
        <f t="shared" si="10"/>
        <v>57.2</v>
      </c>
      <c r="H74" s="4">
        <f t="shared" si="11"/>
        <v>-0.12599999999999767</v>
      </c>
      <c r="J74">
        <v>-0.13</v>
      </c>
      <c r="K74">
        <v>0</v>
      </c>
    </row>
    <row r="75" spans="1:11" x14ac:dyDescent="0.25">
      <c r="A75">
        <v>1947</v>
      </c>
      <c r="B75">
        <v>-0.04</v>
      </c>
      <c r="C75">
        <v>-0.04</v>
      </c>
      <c r="D75">
        <f t="shared" si="7"/>
        <v>-7.2000000000000008E-2</v>
      </c>
      <c r="E75">
        <f t="shared" si="8"/>
        <v>-7.2000000000000008E-2</v>
      </c>
      <c r="F75" s="5">
        <f t="shared" si="9"/>
        <v>57.128</v>
      </c>
      <c r="G75" s="5">
        <f t="shared" si="10"/>
        <v>57.128</v>
      </c>
      <c r="H75" s="4">
        <f t="shared" si="11"/>
        <v>-7.2000000000002728E-2</v>
      </c>
      <c r="J75">
        <v>-7.0000000000000007E-2</v>
      </c>
      <c r="K75">
        <v>-7.0000000000000007E-2</v>
      </c>
    </row>
    <row r="76" spans="1:11" x14ac:dyDescent="0.25">
      <c r="A76">
        <v>1948</v>
      </c>
      <c r="B76">
        <v>-0.11</v>
      </c>
      <c r="C76">
        <v>-7.0000000000000007E-2</v>
      </c>
      <c r="D76">
        <f t="shared" si="7"/>
        <v>-0.19800000000000001</v>
      </c>
      <c r="E76">
        <f t="shared" si="8"/>
        <v>-0.12600000000000003</v>
      </c>
      <c r="F76" s="5">
        <f t="shared" si="9"/>
        <v>57.002000000000002</v>
      </c>
      <c r="G76" s="5">
        <f t="shared" si="10"/>
        <v>57.074000000000005</v>
      </c>
      <c r="H76" s="4">
        <f t="shared" si="11"/>
        <v>-0.1980000000000004</v>
      </c>
      <c r="J76">
        <v>-0.2</v>
      </c>
      <c r="K76">
        <v>-0.13</v>
      </c>
    </row>
    <row r="77" spans="1:11" x14ac:dyDescent="0.25">
      <c r="A77">
        <v>1949</v>
      </c>
      <c r="B77">
        <v>-0.11</v>
      </c>
      <c r="C77">
        <v>-0.09</v>
      </c>
      <c r="D77">
        <f t="shared" si="7"/>
        <v>-0.19800000000000001</v>
      </c>
      <c r="E77">
        <f t="shared" si="8"/>
        <v>-0.16200000000000001</v>
      </c>
      <c r="F77" s="5">
        <f t="shared" si="9"/>
        <v>57.002000000000002</v>
      </c>
      <c r="G77" s="5">
        <f t="shared" si="10"/>
        <v>57.038000000000004</v>
      </c>
      <c r="H77" s="4">
        <f t="shared" si="11"/>
        <v>-0.1980000000000004</v>
      </c>
      <c r="J77">
        <v>-0.2</v>
      </c>
      <c r="K77">
        <v>-0.16</v>
      </c>
    </row>
    <row r="78" spans="1:11" x14ac:dyDescent="0.25">
      <c r="A78">
        <v>1950</v>
      </c>
      <c r="B78">
        <v>-0.18</v>
      </c>
      <c r="C78">
        <v>-0.08</v>
      </c>
      <c r="D78">
        <f t="shared" si="7"/>
        <v>-0.32400000000000001</v>
      </c>
      <c r="E78">
        <f t="shared" si="8"/>
        <v>-0.14400000000000002</v>
      </c>
      <c r="F78" s="5">
        <f t="shared" si="9"/>
        <v>56.876000000000005</v>
      </c>
      <c r="G78" s="5">
        <f t="shared" si="10"/>
        <v>57.056000000000004</v>
      </c>
      <c r="H78" s="4">
        <f t="shared" si="11"/>
        <v>-0.32399999999999807</v>
      </c>
      <c r="J78">
        <v>-0.32</v>
      </c>
      <c r="K78">
        <v>-0.14000000000000001</v>
      </c>
    </row>
    <row r="79" spans="1:11" x14ac:dyDescent="0.25">
      <c r="A79">
        <v>1951</v>
      </c>
      <c r="B79">
        <v>-7.0000000000000007E-2</v>
      </c>
      <c r="C79">
        <v>-0.08</v>
      </c>
      <c r="D79">
        <f t="shared" si="7"/>
        <v>-0.12600000000000003</v>
      </c>
      <c r="E79">
        <f t="shared" si="8"/>
        <v>-0.14400000000000002</v>
      </c>
      <c r="F79" s="5">
        <f t="shared" si="9"/>
        <v>57.074000000000005</v>
      </c>
      <c r="G79" s="5">
        <f t="shared" si="10"/>
        <v>57.056000000000004</v>
      </c>
      <c r="H79" s="4">
        <f t="shared" si="11"/>
        <v>-0.12599999999999767</v>
      </c>
      <c r="J79">
        <v>-0.13</v>
      </c>
      <c r="K79">
        <v>-0.14000000000000001</v>
      </c>
    </row>
    <row r="80" spans="1:11" x14ac:dyDescent="0.25">
      <c r="A80">
        <v>1952</v>
      </c>
      <c r="B80">
        <v>0.01</v>
      </c>
      <c r="C80">
        <v>-0.08</v>
      </c>
      <c r="D80">
        <f t="shared" si="7"/>
        <v>1.8000000000000002E-2</v>
      </c>
      <c r="E80">
        <f t="shared" si="8"/>
        <v>-0.14400000000000002</v>
      </c>
      <c r="F80" s="5">
        <f t="shared" si="9"/>
        <v>57.218000000000004</v>
      </c>
      <c r="G80" s="5">
        <f t="shared" si="10"/>
        <v>57.056000000000004</v>
      </c>
      <c r="H80" s="4">
        <f t="shared" si="11"/>
        <v>1.8000000000000682E-2</v>
      </c>
      <c r="J80">
        <v>0.02</v>
      </c>
      <c r="K80">
        <v>-0.14000000000000001</v>
      </c>
    </row>
    <row r="81" spans="1:11" x14ac:dyDescent="0.25">
      <c r="A81">
        <v>1953</v>
      </c>
      <c r="B81">
        <v>7.0000000000000007E-2</v>
      </c>
      <c r="C81">
        <v>-0.08</v>
      </c>
      <c r="D81">
        <f t="shared" si="7"/>
        <v>0.12600000000000003</v>
      </c>
      <c r="E81">
        <f t="shared" si="8"/>
        <v>-0.14400000000000002</v>
      </c>
      <c r="F81" s="5">
        <f t="shared" si="9"/>
        <v>57.326000000000001</v>
      </c>
      <c r="G81" s="5">
        <f t="shared" si="10"/>
        <v>57.056000000000004</v>
      </c>
      <c r="H81" s="4">
        <f t="shared" si="11"/>
        <v>0.12599999999999767</v>
      </c>
      <c r="J81">
        <v>0.13</v>
      </c>
      <c r="K81">
        <v>-0.14000000000000001</v>
      </c>
    </row>
    <row r="82" spans="1:11" x14ac:dyDescent="0.25">
      <c r="A82">
        <v>1954</v>
      </c>
      <c r="B82">
        <v>-0.15</v>
      </c>
      <c r="C82">
        <v>-7.0000000000000007E-2</v>
      </c>
      <c r="D82">
        <f t="shared" si="7"/>
        <v>-0.27</v>
      </c>
      <c r="E82">
        <f t="shared" si="8"/>
        <v>-0.12600000000000003</v>
      </c>
      <c r="F82" s="5">
        <f t="shared" si="9"/>
        <v>56.93</v>
      </c>
      <c r="G82" s="5">
        <f t="shared" si="10"/>
        <v>57.074000000000005</v>
      </c>
      <c r="H82" s="4">
        <f t="shared" si="11"/>
        <v>-0.27000000000000313</v>
      </c>
      <c r="J82">
        <v>-0.27</v>
      </c>
      <c r="K82">
        <v>-0.13</v>
      </c>
    </row>
    <row r="83" spans="1:11" x14ac:dyDescent="0.25">
      <c r="A83">
        <v>1955</v>
      </c>
      <c r="B83">
        <v>-0.15</v>
      </c>
      <c r="C83">
        <v>-0.06</v>
      </c>
      <c r="D83">
        <f t="shared" si="7"/>
        <v>-0.27</v>
      </c>
      <c r="E83">
        <f t="shared" si="8"/>
        <v>-0.108</v>
      </c>
      <c r="F83" s="5">
        <f t="shared" si="9"/>
        <v>56.93</v>
      </c>
      <c r="G83" s="5">
        <f t="shared" si="10"/>
        <v>57.092000000000006</v>
      </c>
      <c r="H83" s="4">
        <f t="shared" si="11"/>
        <v>-0.27000000000000313</v>
      </c>
      <c r="J83">
        <v>-0.27</v>
      </c>
      <c r="K83">
        <v>-0.11</v>
      </c>
    </row>
    <row r="84" spans="1:11" x14ac:dyDescent="0.25">
      <c r="A84">
        <v>1956</v>
      </c>
      <c r="B84">
        <v>-0.21</v>
      </c>
      <c r="C84">
        <v>-0.05</v>
      </c>
      <c r="D84">
        <f t="shared" si="7"/>
        <v>-0.378</v>
      </c>
      <c r="E84">
        <f t="shared" si="8"/>
        <v>-9.0000000000000011E-2</v>
      </c>
      <c r="F84" s="5">
        <f t="shared" si="9"/>
        <v>56.822000000000003</v>
      </c>
      <c r="G84" s="5">
        <f t="shared" si="10"/>
        <v>57.11</v>
      </c>
      <c r="H84" s="4">
        <f t="shared" si="11"/>
        <v>-0.37800000000000011</v>
      </c>
      <c r="J84">
        <v>-0.38</v>
      </c>
      <c r="K84">
        <v>-0.09</v>
      </c>
    </row>
    <row r="85" spans="1:11" x14ac:dyDescent="0.25">
      <c r="A85">
        <v>1957</v>
      </c>
      <c r="B85">
        <v>0.05</v>
      </c>
      <c r="C85">
        <v>-0.04</v>
      </c>
      <c r="D85">
        <f t="shared" si="7"/>
        <v>9.0000000000000011E-2</v>
      </c>
      <c r="E85">
        <f t="shared" si="8"/>
        <v>-7.2000000000000008E-2</v>
      </c>
      <c r="F85" s="5">
        <f t="shared" si="9"/>
        <v>57.290000000000006</v>
      </c>
      <c r="G85" s="5">
        <f t="shared" si="10"/>
        <v>57.128</v>
      </c>
      <c r="H85" s="4">
        <f t="shared" si="11"/>
        <v>9.0000000000003411E-2</v>
      </c>
      <c r="J85">
        <v>0.09</v>
      </c>
      <c r="K85">
        <v>-7.0000000000000007E-2</v>
      </c>
    </row>
    <row r="86" spans="1:11" x14ac:dyDescent="0.25">
      <c r="A86">
        <v>1958</v>
      </c>
      <c r="B86">
        <v>0.08</v>
      </c>
      <c r="C86">
        <v>-0.01</v>
      </c>
      <c r="D86">
        <f t="shared" si="7"/>
        <v>0.14400000000000002</v>
      </c>
      <c r="E86">
        <f t="shared" si="8"/>
        <v>-1.8000000000000002E-2</v>
      </c>
      <c r="F86" s="5">
        <f t="shared" si="9"/>
        <v>57.344000000000001</v>
      </c>
      <c r="G86" s="5">
        <f t="shared" si="10"/>
        <v>57.182000000000002</v>
      </c>
      <c r="H86" s="4">
        <f t="shared" si="11"/>
        <v>0.14399999999999835</v>
      </c>
      <c r="J86">
        <v>0.14000000000000001</v>
      </c>
      <c r="K86">
        <v>-0.02</v>
      </c>
    </row>
    <row r="87" spans="1:11" x14ac:dyDescent="0.25">
      <c r="A87">
        <v>1959</v>
      </c>
      <c r="B87">
        <v>0.03</v>
      </c>
      <c r="C87">
        <v>0.02</v>
      </c>
      <c r="D87">
        <f t="shared" si="7"/>
        <v>5.3999999999999999E-2</v>
      </c>
      <c r="E87">
        <f t="shared" si="8"/>
        <v>3.6000000000000004E-2</v>
      </c>
      <c r="F87" s="5">
        <f t="shared" si="9"/>
        <v>57.254000000000005</v>
      </c>
      <c r="G87" s="5">
        <f t="shared" si="10"/>
        <v>57.236000000000004</v>
      </c>
      <c r="H87" s="4">
        <f t="shared" si="11"/>
        <v>5.4000000000002046E-2</v>
      </c>
      <c r="J87">
        <v>0.05</v>
      </c>
      <c r="K87">
        <v>0.04</v>
      </c>
    </row>
    <row r="88" spans="1:11" x14ac:dyDescent="0.25">
      <c r="A88">
        <v>1960</v>
      </c>
      <c r="B88">
        <v>-0.02</v>
      </c>
      <c r="C88">
        <v>0.03</v>
      </c>
      <c r="D88">
        <f t="shared" si="7"/>
        <v>-3.6000000000000004E-2</v>
      </c>
      <c r="E88">
        <f t="shared" si="8"/>
        <v>5.3999999999999999E-2</v>
      </c>
      <c r="F88" s="5">
        <f t="shared" si="9"/>
        <v>57.164000000000001</v>
      </c>
      <c r="G88" s="5">
        <f t="shared" si="10"/>
        <v>57.254000000000005</v>
      </c>
      <c r="H88" s="4">
        <f t="shared" si="11"/>
        <v>-3.6000000000001364E-2</v>
      </c>
      <c r="J88">
        <v>-0.04</v>
      </c>
      <c r="K88">
        <v>0.05</v>
      </c>
    </row>
    <row r="89" spans="1:11" x14ac:dyDescent="0.25">
      <c r="A89">
        <v>1961</v>
      </c>
      <c r="B89">
        <v>0.06</v>
      </c>
      <c r="C89">
        <v>0.02</v>
      </c>
      <c r="D89">
        <f t="shared" si="7"/>
        <v>0.108</v>
      </c>
      <c r="E89">
        <f t="shared" si="8"/>
        <v>3.6000000000000004E-2</v>
      </c>
      <c r="F89" s="5">
        <f t="shared" si="9"/>
        <v>57.308</v>
      </c>
      <c r="G89" s="5">
        <f t="shared" si="10"/>
        <v>57.236000000000004</v>
      </c>
      <c r="H89" s="4">
        <f t="shared" si="11"/>
        <v>0.10799999999999699</v>
      </c>
      <c r="J89">
        <v>0.11</v>
      </c>
      <c r="K89">
        <v>0.04</v>
      </c>
    </row>
    <row r="90" spans="1:11" x14ac:dyDescent="0.25">
      <c r="A90">
        <v>1962</v>
      </c>
      <c r="B90">
        <v>0.05</v>
      </c>
      <c r="C90">
        <v>0</v>
      </c>
      <c r="D90">
        <f t="shared" si="7"/>
        <v>9.0000000000000011E-2</v>
      </c>
      <c r="E90">
        <f t="shared" si="8"/>
        <v>0</v>
      </c>
      <c r="F90" s="5">
        <f t="shared" si="9"/>
        <v>57.290000000000006</v>
      </c>
      <c r="G90" s="5">
        <f t="shared" si="10"/>
        <v>57.2</v>
      </c>
      <c r="H90" s="4">
        <f t="shared" si="11"/>
        <v>9.0000000000003411E-2</v>
      </c>
      <c r="J90">
        <v>0.09</v>
      </c>
      <c r="K90">
        <v>0</v>
      </c>
    </row>
    <row r="91" spans="1:11" x14ac:dyDescent="0.25">
      <c r="A91">
        <v>1963</v>
      </c>
      <c r="B91">
        <v>7.0000000000000007E-2</v>
      </c>
      <c r="C91">
        <v>-0.02</v>
      </c>
      <c r="D91">
        <f t="shared" si="7"/>
        <v>0.12600000000000003</v>
      </c>
      <c r="E91">
        <f t="shared" si="8"/>
        <v>-3.6000000000000004E-2</v>
      </c>
      <c r="F91" s="5">
        <f t="shared" si="9"/>
        <v>57.326000000000001</v>
      </c>
      <c r="G91" s="5">
        <f t="shared" si="10"/>
        <v>57.164000000000001</v>
      </c>
      <c r="H91" s="4">
        <f t="shared" si="11"/>
        <v>0.12599999999999767</v>
      </c>
      <c r="J91">
        <v>0.13</v>
      </c>
      <c r="K91">
        <v>-0.04</v>
      </c>
    </row>
    <row r="92" spans="1:11" x14ac:dyDescent="0.25">
      <c r="A92">
        <v>1964</v>
      </c>
      <c r="B92">
        <v>-0.2</v>
      </c>
      <c r="C92">
        <v>-0.03</v>
      </c>
      <c r="D92">
        <f t="shared" si="7"/>
        <v>-0.36000000000000004</v>
      </c>
      <c r="E92">
        <f t="shared" si="8"/>
        <v>-5.3999999999999999E-2</v>
      </c>
      <c r="F92" s="5">
        <f t="shared" si="9"/>
        <v>56.84</v>
      </c>
      <c r="G92" s="5">
        <f t="shared" si="10"/>
        <v>57.146000000000001</v>
      </c>
      <c r="H92" s="4">
        <f t="shared" si="11"/>
        <v>-0.35999999999999943</v>
      </c>
      <c r="J92">
        <v>-0.36</v>
      </c>
      <c r="K92">
        <v>-0.05</v>
      </c>
    </row>
    <row r="93" spans="1:11" x14ac:dyDescent="0.25">
      <c r="A93">
        <v>1965</v>
      </c>
      <c r="B93">
        <v>-0.11</v>
      </c>
      <c r="C93">
        <v>-0.04</v>
      </c>
      <c r="D93">
        <f t="shared" si="7"/>
        <v>-0.19800000000000001</v>
      </c>
      <c r="E93">
        <f t="shared" si="8"/>
        <v>-7.2000000000000008E-2</v>
      </c>
      <c r="F93" s="5">
        <f t="shared" si="9"/>
        <v>57.002000000000002</v>
      </c>
      <c r="G93" s="5">
        <f t="shared" si="10"/>
        <v>57.128</v>
      </c>
      <c r="H93" s="4">
        <f t="shared" si="11"/>
        <v>-0.1980000000000004</v>
      </c>
      <c r="J93">
        <v>-0.2</v>
      </c>
      <c r="K93">
        <v>-7.0000000000000007E-2</v>
      </c>
    </row>
    <row r="94" spans="1:11" x14ac:dyDescent="0.25">
      <c r="A94">
        <v>1966</v>
      </c>
      <c r="B94">
        <v>-0.05</v>
      </c>
      <c r="C94">
        <v>-0.05</v>
      </c>
      <c r="D94">
        <f t="shared" si="7"/>
        <v>-9.0000000000000011E-2</v>
      </c>
      <c r="E94">
        <f t="shared" si="8"/>
        <v>-9.0000000000000011E-2</v>
      </c>
      <c r="F94" s="5">
        <f t="shared" si="9"/>
        <v>57.11</v>
      </c>
      <c r="G94" s="5">
        <f t="shared" si="10"/>
        <v>57.11</v>
      </c>
      <c r="H94" s="4">
        <f t="shared" si="11"/>
        <v>-9.0000000000003411E-2</v>
      </c>
      <c r="J94">
        <v>-0.09</v>
      </c>
      <c r="K94">
        <v>-0.09</v>
      </c>
    </row>
    <row r="95" spans="1:11" x14ac:dyDescent="0.25">
      <c r="A95">
        <v>1967</v>
      </c>
      <c r="B95">
        <v>-0.02</v>
      </c>
      <c r="C95">
        <v>-0.04</v>
      </c>
      <c r="D95">
        <f t="shared" si="7"/>
        <v>-3.6000000000000004E-2</v>
      </c>
      <c r="E95">
        <f t="shared" si="8"/>
        <v>-7.2000000000000008E-2</v>
      </c>
      <c r="F95" s="5">
        <f t="shared" si="9"/>
        <v>57.164000000000001</v>
      </c>
      <c r="G95" s="5">
        <f t="shared" si="10"/>
        <v>57.128</v>
      </c>
      <c r="H95" s="4">
        <f t="shared" si="11"/>
        <v>-3.6000000000001364E-2</v>
      </c>
      <c r="J95">
        <v>-0.04</v>
      </c>
      <c r="K95">
        <v>-7.0000000000000007E-2</v>
      </c>
    </row>
    <row r="96" spans="1:11" x14ac:dyDescent="0.25">
      <c r="A96">
        <v>1968</v>
      </c>
      <c r="B96">
        <v>-7.0000000000000007E-2</v>
      </c>
      <c r="C96">
        <v>-0.03</v>
      </c>
      <c r="D96">
        <f t="shared" si="7"/>
        <v>-0.12600000000000003</v>
      </c>
      <c r="E96">
        <f t="shared" si="8"/>
        <v>-5.3999999999999999E-2</v>
      </c>
      <c r="F96" s="5">
        <f t="shared" si="9"/>
        <v>57.074000000000005</v>
      </c>
      <c r="G96" s="5">
        <f t="shared" si="10"/>
        <v>57.146000000000001</v>
      </c>
      <c r="H96" s="4">
        <f t="shared" si="11"/>
        <v>-0.12599999999999767</v>
      </c>
      <c r="J96">
        <v>-0.13</v>
      </c>
      <c r="K96">
        <v>-0.05</v>
      </c>
    </row>
    <row r="97" spans="1:11" x14ac:dyDescent="0.25">
      <c r="A97">
        <v>1969</v>
      </c>
      <c r="B97">
        <v>7.0000000000000007E-2</v>
      </c>
      <c r="C97">
        <v>-0.01</v>
      </c>
      <c r="D97">
        <f t="shared" si="7"/>
        <v>0.12600000000000003</v>
      </c>
      <c r="E97">
        <f t="shared" si="8"/>
        <v>-1.8000000000000002E-2</v>
      </c>
      <c r="F97" s="5">
        <f t="shared" si="9"/>
        <v>57.326000000000001</v>
      </c>
      <c r="G97" s="5">
        <f t="shared" si="10"/>
        <v>57.182000000000002</v>
      </c>
      <c r="H97" s="4">
        <f t="shared" si="11"/>
        <v>0.12599999999999767</v>
      </c>
      <c r="J97">
        <v>0.13</v>
      </c>
      <c r="K97">
        <v>-0.02</v>
      </c>
    </row>
    <row r="98" spans="1:11" x14ac:dyDescent="0.25">
      <c r="A98">
        <v>1970</v>
      </c>
      <c r="B98">
        <v>0.03</v>
      </c>
      <c r="C98">
        <v>0</v>
      </c>
      <c r="D98">
        <f t="shared" si="7"/>
        <v>5.3999999999999999E-2</v>
      </c>
      <c r="E98">
        <f t="shared" si="8"/>
        <v>0</v>
      </c>
      <c r="F98" s="5">
        <f t="shared" si="9"/>
        <v>57.254000000000005</v>
      </c>
      <c r="G98" s="5">
        <f t="shared" si="10"/>
        <v>57.2</v>
      </c>
      <c r="H98" s="4">
        <f t="shared" si="11"/>
        <v>5.4000000000002046E-2</v>
      </c>
      <c r="J98">
        <v>0.05</v>
      </c>
      <c r="K98">
        <v>0</v>
      </c>
    </row>
    <row r="99" spans="1:11" x14ac:dyDescent="0.25">
      <c r="A99">
        <v>1971</v>
      </c>
      <c r="B99">
        <v>-0.09</v>
      </c>
      <c r="C99">
        <v>0</v>
      </c>
      <c r="D99">
        <f t="shared" si="7"/>
        <v>-0.16200000000000001</v>
      </c>
      <c r="E99">
        <f t="shared" si="8"/>
        <v>0</v>
      </c>
      <c r="F99" s="5">
        <f t="shared" si="9"/>
        <v>57.038000000000004</v>
      </c>
      <c r="G99" s="5">
        <f t="shared" si="10"/>
        <v>57.2</v>
      </c>
      <c r="H99" s="4">
        <f t="shared" si="11"/>
        <v>-0.16199999999999903</v>
      </c>
      <c r="J99">
        <v>-0.16</v>
      </c>
      <c r="K99">
        <v>0</v>
      </c>
    </row>
    <row r="100" spans="1:11" x14ac:dyDescent="0.25">
      <c r="A100">
        <v>1972</v>
      </c>
      <c r="B100">
        <v>0.01</v>
      </c>
      <c r="C100">
        <v>0</v>
      </c>
      <c r="D100">
        <f t="shared" si="7"/>
        <v>1.8000000000000002E-2</v>
      </c>
      <c r="E100">
        <f t="shared" si="8"/>
        <v>0</v>
      </c>
      <c r="F100" s="5">
        <f t="shared" si="9"/>
        <v>57.218000000000004</v>
      </c>
      <c r="G100" s="5">
        <f t="shared" si="10"/>
        <v>57.2</v>
      </c>
      <c r="H100" s="4">
        <f t="shared" si="11"/>
        <v>1.8000000000000682E-2</v>
      </c>
      <c r="J100">
        <v>0.02</v>
      </c>
      <c r="K100">
        <v>0</v>
      </c>
    </row>
    <row r="101" spans="1:11" x14ac:dyDescent="0.25">
      <c r="A101">
        <v>1973</v>
      </c>
      <c r="B101">
        <v>0.15</v>
      </c>
      <c r="C101">
        <v>-0.01</v>
      </c>
      <c r="D101">
        <f t="shared" si="7"/>
        <v>0.27</v>
      </c>
      <c r="E101">
        <f t="shared" si="8"/>
        <v>-1.8000000000000002E-2</v>
      </c>
      <c r="F101" s="5">
        <f t="shared" si="9"/>
        <v>57.470000000000006</v>
      </c>
      <c r="G101" s="5">
        <f t="shared" si="10"/>
        <v>57.182000000000002</v>
      </c>
      <c r="H101" s="4">
        <f t="shared" si="11"/>
        <v>0.27000000000000313</v>
      </c>
      <c r="J101">
        <v>0.27</v>
      </c>
      <c r="K101">
        <v>-0.02</v>
      </c>
    </row>
    <row r="102" spans="1:11" x14ac:dyDescent="0.25">
      <c r="A102">
        <v>1974</v>
      </c>
      <c r="B102">
        <v>-0.08</v>
      </c>
      <c r="C102">
        <v>0</v>
      </c>
      <c r="D102">
        <f t="shared" si="7"/>
        <v>-0.14400000000000002</v>
      </c>
      <c r="E102">
        <f t="shared" si="8"/>
        <v>0</v>
      </c>
      <c r="F102" s="5">
        <f t="shared" si="9"/>
        <v>57.056000000000004</v>
      </c>
      <c r="G102" s="5">
        <f t="shared" si="10"/>
        <v>57.2</v>
      </c>
      <c r="H102" s="4">
        <f t="shared" si="11"/>
        <v>-0.14399999999999835</v>
      </c>
      <c r="J102">
        <v>-0.14000000000000001</v>
      </c>
      <c r="K102">
        <v>0</v>
      </c>
    </row>
    <row r="103" spans="1:11" x14ac:dyDescent="0.25">
      <c r="A103">
        <v>1975</v>
      </c>
      <c r="B103">
        <v>-0.01</v>
      </c>
      <c r="C103">
        <v>0.02</v>
      </c>
      <c r="D103">
        <f t="shared" si="7"/>
        <v>-1.8000000000000002E-2</v>
      </c>
      <c r="E103">
        <f t="shared" si="8"/>
        <v>3.6000000000000004E-2</v>
      </c>
      <c r="F103" s="5">
        <f t="shared" si="9"/>
        <v>57.182000000000002</v>
      </c>
      <c r="G103" s="5">
        <f t="shared" si="10"/>
        <v>57.236000000000004</v>
      </c>
      <c r="H103" s="4">
        <f t="shared" si="11"/>
        <v>-1.8000000000000682E-2</v>
      </c>
      <c r="J103">
        <v>-0.02</v>
      </c>
      <c r="K103">
        <v>0.04</v>
      </c>
    </row>
    <row r="104" spans="1:11" x14ac:dyDescent="0.25">
      <c r="A104">
        <v>1976</v>
      </c>
      <c r="B104">
        <v>-0.1</v>
      </c>
      <c r="C104">
        <v>0.04</v>
      </c>
      <c r="D104">
        <f t="shared" ref="D104:D135" si="12">+B104*$H$4</f>
        <v>-0.18000000000000002</v>
      </c>
      <c r="E104">
        <f t="shared" ref="E104:E135" si="13">+C104*$H$4</f>
        <v>7.2000000000000008E-2</v>
      </c>
      <c r="F104" s="5">
        <f t="shared" si="9"/>
        <v>57.02</v>
      </c>
      <c r="G104" s="5">
        <f t="shared" si="10"/>
        <v>57.272000000000006</v>
      </c>
      <c r="H104" s="4">
        <f t="shared" si="11"/>
        <v>-0.17999999999999972</v>
      </c>
      <c r="J104">
        <v>-0.18</v>
      </c>
      <c r="K104">
        <v>7.0000000000000007E-2</v>
      </c>
    </row>
    <row r="105" spans="1:11" x14ac:dyDescent="0.25">
      <c r="A105">
        <v>1977</v>
      </c>
      <c r="B105">
        <v>0.17</v>
      </c>
      <c r="C105">
        <v>7.0000000000000007E-2</v>
      </c>
      <c r="D105">
        <f t="shared" si="12"/>
        <v>0.30600000000000005</v>
      </c>
      <c r="E105">
        <f t="shared" si="13"/>
        <v>0.12600000000000003</v>
      </c>
      <c r="F105" s="5">
        <f t="shared" si="9"/>
        <v>57.506</v>
      </c>
      <c r="G105" s="5">
        <f t="shared" si="10"/>
        <v>57.326000000000001</v>
      </c>
      <c r="H105" s="4">
        <f t="shared" si="11"/>
        <v>0.30599999999999739</v>
      </c>
      <c r="J105">
        <v>0.31</v>
      </c>
      <c r="K105">
        <v>0.13</v>
      </c>
    </row>
    <row r="106" spans="1:11" x14ac:dyDescent="0.25">
      <c r="A106">
        <v>1978</v>
      </c>
      <c r="B106">
        <v>7.0000000000000007E-2</v>
      </c>
      <c r="C106">
        <v>0.12</v>
      </c>
      <c r="D106">
        <f t="shared" si="12"/>
        <v>0.12600000000000003</v>
      </c>
      <c r="E106">
        <f t="shared" si="13"/>
        <v>0.216</v>
      </c>
      <c r="F106" s="5">
        <f t="shared" si="9"/>
        <v>57.326000000000001</v>
      </c>
      <c r="G106" s="5">
        <f t="shared" si="10"/>
        <v>57.416000000000004</v>
      </c>
      <c r="H106" s="4">
        <f t="shared" si="11"/>
        <v>0.12599999999999767</v>
      </c>
      <c r="J106">
        <v>0.13</v>
      </c>
      <c r="K106">
        <v>0.22</v>
      </c>
    </row>
    <row r="107" spans="1:11" x14ac:dyDescent="0.25">
      <c r="A107">
        <v>1979</v>
      </c>
      <c r="B107">
        <v>0.16</v>
      </c>
      <c r="C107">
        <v>0.16</v>
      </c>
      <c r="D107">
        <f t="shared" si="12"/>
        <v>0.28800000000000003</v>
      </c>
      <c r="E107">
        <f t="shared" si="13"/>
        <v>0.28800000000000003</v>
      </c>
      <c r="F107" s="5">
        <f t="shared" si="9"/>
        <v>57.488</v>
      </c>
      <c r="G107" s="5">
        <f t="shared" si="10"/>
        <v>57.488</v>
      </c>
      <c r="H107" s="4">
        <f t="shared" si="11"/>
        <v>0.2879999999999967</v>
      </c>
      <c r="J107">
        <v>0.28999999999999998</v>
      </c>
      <c r="K107">
        <v>0.28999999999999998</v>
      </c>
    </row>
    <row r="108" spans="1:11" x14ac:dyDescent="0.25">
      <c r="A108">
        <v>1980</v>
      </c>
      <c r="B108">
        <v>0.27</v>
      </c>
      <c r="C108">
        <v>0.2</v>
      </c>
      <c r="D108">
        <f t="shared" si="12"/>
        <v>0.48600000000000004</v>
      </c>
      <c r="E108">
        <f t="shared" si="13"/>
        <v>0.36000000000000004</v>
      </c>
      <c r="F108" s="5">
        <f t="shared" si="9"/>
        <v>57.686</v>
      </c>
      <c r="G108" s="5">
        <f t="shared" si="10"/>
        <v>57.56</v>
      </c>
      <c r="H108" s="4">
        <f t="shared" si="11"/>
        <v>0.4859999999999971</v>
      </c>
      <c r="J108">
        <v>0.49</v>
      </c>
      <c r="K108">
        <v>0.36</v>
      </c>
    </row>
    <row r="109" spans="1:11" x14ac:dyDescent="0.25">
      <c r="A109">
        <v>1981</v>
      </c>
      <c r="B109">
        <v>0.33</v>
      </c>
      <c r="C109">
        <v>0.21</v>
      </c>
      <c r="D109">
        <f t="shared" si="12"/>
        <v>0.59400000000000008</v>
      </c>
      <c r="E109">
        <f t="shared" si="13"/>
        <v>0.378</v>
      </c>
      <c r="F109" s="5">
        <f t="shared" si="9"/>
        <v>57.794000000000004</v>
      </c>
      <c r="G109" s="5">
        <f t="shared" si="10"/>
        <v>57.578000000000003</v>
      </c>
      <c r="H109" s="4">
        <f t="shared" si="11"/>
        <v>0.59400000000000119</v>
      </c>
      <c r="J109">
        <v>0.59</v>
      </c>
      <c r="K109">
        <v>0.38</v>
      </c>
    </row>
    <row r="110" spans="1:11" x14ac:dyDescent="0.25">
      <c r="A110">
        <v>1982</v>
      </c>
      <c r="B110">
        <v>0.13</v>
      </c>
      <c r="C110">
        <v>0.22</v>
      </c>
      <c r="D110">
        <f t="shared" si="12"/>
        <v>0.23400000000000001</v>
      </c>
      <c r="E110">
        <f t="shared" si="13"/>
        <v>0.39600000000000002</v>
      </c>
      <c r="F110" s="5">
        <f t="shared" si="9"/>
        <v>57.434000000000005</v>
      </c>
      <c r="G110" s="5">
        <f t="shared" si="10"/>
        <v>57.596000000000004</v>
      </c>
      <c r="H110" s="4">
        <f t="shared" si="11"/>
        <v>0.23400000000000176</v>
      </c>
      <c r="J110">
        <v>0.23</v>
      </c>
      <c r="K110">
        <v>0.4</v>
      </c>
    </row>
    <row r="111" spans="1:11" x14ac:dyDescent="0.25">
      <c r="A111">
        <v>1983</v>
      </c>
      <c r="B111">
        <v>0.31</v>
      </c>
      <c r="C111">
        <v>0.21</v>
      </c>
      <c r="D111">
        <f t="shared" si="12"/>
        <v>0.55800000000000005</v>
      </c>
      <c r="E111">
        <f t="shared" si="13"/>
        <v>0.378</v>
      </c>
      <c r="F111" s="5">
        <f t="shared" si="9"/>
        <v>57.758000000000003</v>
      </c>
      <c r="G111" s="5">
        <f t="shared" si="10"/>
        <v>57.578000000000003</v>
      </c>
      <c r="H111" s="4">
        <f t="shared" si="11"/>
        <v>0.55799999999999983</v>
      </c>
      <c r="J111">
        <v>0.56000000000000005</v>
      </c>
      <c r="K111">
        <v>0.38</v>
      </c>
    </row>
    <row r="112" spans="1:11" x14ac:dyDescent="0.25">
      <c r="A112">
        <v>1984</v>
      </c>
      <c r="B112">
        <v>0.16</v>
      </c>
      <c r="C112">
        <v>0.21</v>
      </c>
      <c r="D112">
        <f t="shared" si="12"/>
        <v>0.28800000000000003</v>
      </c>
      <c r="E112">
        <f t="shared" si="13"/>
        <v>0.378</v>
      </c>
      <c r="F112" s="5">
        <f t="shared" si="9"/>
        <v>57.488</v>
      </c>
      <c r="G112" s="5">
        <f t="shared" si="10"/>
        <v>57.578000000000003</v>
      </c>
      <c r="H112" s="4">
        <f t="shared" si="11"/>
        <v>0.2879999999999967</v>
      </c>
      <c r="J112">
        <v>0.28999999999999998</v>
      </c>
      <c r="K112">
        <v>0.38</v>
      </c>
    </row>
    <row r="113" spans="1:11" x14ac:dyDescent="0.25">
      <c r="A113">
        <v>1985</v>
      </c>
      <c r="B113">
        <v>0.11</v>
      </c>
      <c r="C113">
        <v>0.22</v>
      </c>
      <c r="D113">
        <f t="shared" si="12"/>
        <v>0.19800000000000001</v>
      </c>
      <c r="E113">
        <f t="shared" si="13"/>
        <v>0.39600000000000002</v>
      </c>
      <c r="F113" s="5">
        <f t="shared" si="9"/>
        <v>57.398000000000003</v>
      </c>
      <c r="G113" s="5">
        <f t="shared" si="10"/>
        <v>57.596000000000004</v>
      </c>
      <c r="H113" s="4">
        <f t="shared" si="11"/>
        <v>0.1980000000000004</v>
      </c>
      <c r="J113">
        <v>0.2</v>
      </c>
      <c r="K113">
        <v>0.4</v>
      </c>
    </row>
    <row r="114" spans="1:11" x14ac:dyDescent="0.25">
      <c r="A114">
        <v>1986</v>
      </c>
      <c r="B114">
        <v>0.18</v>
      </c>
      <c r="C114">
        <v>0.25</v>
      </c>
      <c r="D114">
        <f t="shared" si="12"/>
        <v>0.32400000000000001</v>
      </c>
      <c r="E114">
        <f t="shared" si="13"/>
        <v>0.45</v>
      </c>
      <c r="F114" s="5">
        <f t="shared" si="9"/>
        <v>57.524000000000001</v>
      </c>
      <c r="G114" s="5">
        <f t="shared" si="10"/>
        <v>57.650000000000006</v>
      </c>
      <c r="H114" s="4">
        <f t="shared" si="11"/>
        <v>0.32399999999999807</v>
      </c>
      <c r="J114">
        <v>0.32</v>
      </c>
      <c r="K114">
        <v>0.45</v>
      </c>
    </row>
    <row r="115" spans="1:11" x14ac:dyDescent="0.25">
      <c r="A115">
        <v>1987</v>
      </c>
      <c r="B115">
        <v>0.33</v>
      </c>
      <c r="C115">
        <v>0.27</v>
      </c>
      <c r="D115">
        <f t="shared" si="12"/>
        <v>0.59400000000000008</v>
      </c>
      <c r="E115">
        <f t="shared" si="13"/>
        <v>0.48600000000000004</v>
      </c>
      <c r="F115" s="5">
        <f t="shared" si="9"/>
        <v>57.794000000000004</v>
      </c>
      <c r="G115" s="5">
        <f t="shared" si="10"/>
        <v>57.686</v>
      </c>
      <c r="H115" s="4">
        <f t="shared" si="11"/>
        <v>0.59400000000000119</v>
      </c>
      <c r="J115">
        <v>0.59</v>
      </c>
      <c r="K115">
        <v>0.49</v>
      </c>
    </row>
    <row r="116" spans="1:11" x14ac:dyDescent="0.25">
      <c r="A116">
        <v>1988</v>
      </c>
      <c r="B116">
        <v>0.4</v>
      </c>
      <c r="C116">
        <v>0.31</v>
      </c>
      <c r="D116">
        <f t="shared" si="12"/>
        <v>0.72000000000000008</v>
      </c>
      <c r="E116">
        <f t="shared" si="13"/>
        <v>0.55800000000000005</v>
      </c>
      <c r="F116" s="5">
        <f t="shared" si="9"/>
        <v>57.92</v>
      </c>
      <c r="G116" s="5">
        <f t="shared" si="10"/>
        <v>57.758000000000003</v>
      </c>
      <c r="H116" s="4">
        <f t="shared" si="11"/>
        <v>0.71999999999999886</v>
      </c>
      <c r="J116">
        <v>0.72</v>
      </c>
      <c r="K116">
        <v>0.56000000000000005</v>
      </c>
    </row>
    <row r="117" spans="1:11" x14ac:dyDescent="0.25">
      <c r="A117">
        <v>1989</v>
      </c>
      <c r="B117">
        <v>0.28000000000000003</v>
      </c>
      <c r="C117">
        <v>0.33</v>
      </c>
      <c r="D117">
        <f t="shared" si="12"/>
        <v>0.50400000000000011</v>
      </c>
      <c r="E117">
        <f t="shared" si="13"/>
        <v>0.59400000000000008</v>
      </c>
      <c r="F117" s="5">
        <f t="shared" si="9"/>
        <v>57.704000000000001</v>
      </c>
      <c r="G117" s="5">
        <f t="shared" si="10"/>
        <v>57.794000000000004</v>
      </c>
      <c r="H117" s="4">
        <f t="shared" si="11"/>
        <v>0.50399999999999778</v>
      </c>
      <c r="J117">
        <v>0.5</v>
      </c>
      <c r="K117">
        <v>0.59</v>
      </c>
    </row>
    <row r="118" spans="1:11" x14ac:dyDescent="0.25">
      <c r="A118">
        <v>1990</v>
      </c>
      <c r="B118">
        <v>0.44</v>
      </c>
      <c r="C118">
        <v>0.33</v>
      </c>
      <c r="D118">
        <f t="shared" si="12"/>
        <v>0.79200000000000004</v>
      </c>
      <c r="E118">
        <f t="shared" si="13"/>
        <v>0.59400000000000008</v>
      </c>
      <c r="F118" s="5">
        <f t="shared" si="9"/>
        <v>57.992000000000004</v>
      </c>
      <c r="G118" s="5">
        <f t="shared" si="10"/>
        <v>57.794000000000004</v>
      </c>
      <c r="H118" s="4">
        <f t="shared" si="11"/>
        <v>0.79200000000000159</v>
      </c>
      <c r="J118">
        <v>0.79</v>
      </c>
      <c r="K118">
        <v>0.59</v>
      </c>
    </row>
    <row r="119" spans="1:11" x14ac:dyDescent="0.25">
      <c r="A119">
        <v>1991</v>
      </c>
      <c r="B119">
        <v>0.41</v>
      </c>
      <c r="C119">
        <v>0.33</v>
      </c>
      <c r="D119">
        <f t="shared" si="12"/>
        <v>0.73799999999999999</v>
      </c>
      <c r="E119">
        <f t="shared" si="13"/>
        <v>0.59400000000000008</v>
      </c>
      <c r="F119" s="5">
        <f t="shared" si="9"/>
        <v>57.938000000000002</v>
      </c>
      <c r="G119" s="5">
        <f t="shared" si="10"/>
        <v>57.794000000000004</v>
      </c>
      <c r="H119" s="4">
        <f t="shared" si="11"/>
        <v>0.73799999999999955</v>
      </c>
      <c r="J119">
        <v>0.74</v>
      </c>
      <c r="K119">
        <v>0.59</v>
      </c>
    </row>
    <row r="120" spans="1:11" x14ac:dyDescent="0.25">
      <c r="A120">
        <v>1992</v>
      </c>
      <c r="B120">
        <v>0.21</v>
      </c>
      <c r="C120">
        <v>0.33</v>
      </c>
      <c r="D120">
        <f t="shared" si="12"/>
        <v>0.378</v>
      </c>
      <c r="E120">
        <f t="shared" si="13"/>
        <v>0.59400000000000008</v>
      </c>
      <c r="F120" s="5">
        <f t="shared" si="9"/>
        <v>57.578000000000003</v>
      </c>
      <c r="G120" s="5">
        <f t="shared" si="10"/>
        <v>57.794000000000004</v>
      </c>
      <c r="H120" s="4">
        <f t="shared" si="11"/>
        <v>0.37800000000000011</v>
      </c>
      <c r="J120">
        <v>0.38</v>
      </c>
      <c r="K120">
        <v>0.59</v>
      </c>
    </row>
    <row r="121" spans="1:11" x14ac:dyDescent="0.25">
      <c r="A121">
        <v>1993</v>
      </c>
      <c r="B121">
        <v>0.23</v>
      </c>
      <c r="C121">
        <v>0.33</v>
      </c>
      <c r="D121">
        <f t="shared" si="12"/>
        <v>0.41400000000000003</v>
      </c>
      <c r="E121">
        <f t="shared" si="13"/>
        <v>0.59400000000000008</v>
      </c>
      <c r="F121" s="5">
        <f t="shared" si="9"/>
        <v>57.614000000000004</v>
      </c>
      <c r="G121" s="5">
        <f t="shared" si="10"/>
        <v>57.794000000000004</v>
      </c>
      <c r="H121" s="4">
        <f t="shared" si="11"/>
        <v>0.41400000000000148</v>
      </c>
      <c r="J121">
        <v>0.41</v>
      </c>
      <c r="K121">
        <v>0.59</v>
      </c>
    </row>
    <row r="122" spans="1:11" x14ac:dyDescent="0.25">
      <c r="A122">
        <v>1994</v>
      </c>
      <c r="B122">
        <v>0.31</v>
      </c>
      <c r="C122">
        <v>0.34</v>
      </c>
      <c r="D122">
        <f t="shared" si="12"/>
        <v>0.55800000000000005</v>
      </c>
      <c r="E122">
        <f t="shared" si="13"/>
        <v>0.6120000000000001</v>
      </c>
      <c r="F122" s="5">
        <f t="shared" si="9"/>
        <v>57.758000000000003</v>
      </c>
      <c r="G122" s="5">
        <f t="shared" si="10"/>
        <v>57.812000000000005</v>
      </c>
      <c r="H122" s="4">
        <f t="shared" si="11"/>
        <v>0.55799999999999983</v>
      </c>
      <c r="J122">
        <v>0.56000000000000005</v>
      </c>
      <c r="K122">
        <v>0.61</v>
      </c>
    </row>
    <row r="123" spans="1:11" x14ac:dyDescent="0.25">
      <c r="A123">
        <v>1995</v>
      </c>
      <c r="B123">
        <v>0.44</v>
      </c>
      <c r="C123">
        <v>0.36</v>
      </c>
      <c r="D123">
        <f t="shared" si="12"/>
        <v>0.79200000000000004</v>
      </c>
      <c r="E123">
        <f t="shared" si="13"/>
        <v>0.64800000000000002</v>
      </c>
      <c r="F123" s="5">
        <f t="shared" si="9"/>
        <v>57.992000000000004</v>
      </c>
      <c r="G123" s="5">
        <f t="shared" si="10"/>
        <v>57.848000000000006</v>
      </c>
      <c r="H123" s="4">
        <f t="shared" si="11"/>
        <v>0.79200000000000159</v>
      </c>
      <c r="J123">
        <v>0.79</v>
      </c>
      <c r="K123">
        <v>0.65</v>
      </c>
    </row>
    <row r="124" spans="1:11" x14ac:dyDescent="0.25">
      <c r="A124">
        <v>1996</v>
      </c>
      <c r="B124">
        <v>0.33</v>
      </c>
      <c r="C124">
        <v>0.4</v>
      </c>
      <c r="D124">
        <f t="shared" si="12"/>
        <v>0.59400000000000008</v>
      </c>
      <c r="E124">
        <f t="shared" si="13"/>
        <v>0.72000000000000008</v>
      </c>
      <c r="F124" s="5">
        <f t="shared" si="9"/>
        <v>57.794000000000004</v>
      </c>
      <c r="G124" s="5">
        <f t="shared" si="10"/>
        <v>57.92</v>
      </c>
      <c r="H124" s="4">
        <f t="shared" si="11"/>
        <v>0.59400000000000119</v>
      </c>
      <c r="J124">
        <v>0.59</v>
      </c>
      <c r="K124">
        <v>0.72</v>
      </c>
    </row>
    <row r="125" spans="1:11" x14ac:dyDescent="0.25">
      <c r="A125">
        <v>1997</v>
      </c>
      <c r="B125">
        <v>0.47</v>
      </c>
      <c r="C125">
        <v>0.42</v>
      </c>
      <c r="D125">
        <f t="shared" si="12"/>
        <v>0.84599999999999997</v>
      </c>
      <c r="E125">
        <f t="shared" si="13"/>
        <v>0.75600000000000001</v>
      </c>
      <c r="F125" s="5">
        <f t="shared" si="9"/>
        <v>58.045999999999999</v>
      </c>
      <c r="G125" s="5">
        <f t="shared" si="10"/>
        <v>57.956000000000003</v>
      </c>
      <c r="H125" s="4">
        <f t="shared" si="11"/>
        <v>0.84599999999999653</v>
      </c>
      <c r="J125">
        <v>0.85</v>
      </c>
      <c r="K125">
        <v>0.76</v>
      </c>
    </row>
    <row r="126" spans="1:11" x14ac:dyDescent="0.25">
      <c r="A126">
        <v>1998</v>
      </c>
      <c r="B126">
        <v>0.62</v>
      </c>
      <c r="C126">
        <v>0.44</v>
      </c>
      <c r="D126">
        <f t="shared" si="12"/>
        <v>1.1160000000000001</v>
      </c>
      <c r="E126">
        <f t="shared" si="13"/>
        <v>0.79200000000000004</v>
      </c>
      <c r="F126" s="5">
        <f t="shared" si="9"/>
        <v>58.316000000000003</v>
      </c>
      <c r="G126" s="5">
        <f t="shared" si="10"/>
        <v>57.992000000000004</v>
      </c>
      <c r="H126" s="4">
        <f t="shared" si="11"/>
        <v>1.1159999999999997</v>
      </c>
      <c r="J126">
        <v>1.1200000000000001</v>
      </c>
      <c r="K126">
        <v>0.79</v>
      </c>
    </row>
    <row r="127" spans="1:11" x14ac:dyDescent="0.25">
      <c r="A127">
        <v>1999</v>
      </c>
      <c r="B127">
        <v>0.39</v>
      </c>
      <c r="C127">
        <v>0.47</v>
      </c>
      <c r="D127">
        <f t="shared" si="12"/>
        <v>0.70200000000000007</v>
      </c>
      <c r="E127">
        <f t="shared" si="13"/>
        <v>0.84599999999999997</v>
      </c>
      <c r="F127" s="5">
        <f t="shared" si="9"/>
        <v>57.902000000000001</v>
      </c>
      <c r="G127" s="5">
        <f t="shared" si="10"/>
        <v>58.045999999999999</v>
      </c>
      <c r="H127" s="4">
        <f t="shared" si="11"/>
        <v>0.70199999999999818</v>
      </c>
      <c r="J127">
        <v>0.7</v>
      </c>
      <c r="K127">
        <v>0.85</v>
      </c>
    </row>
    <row r="128" spans="1:11" x14ac:dyDescent="0.25">
      <c r="A128">
        <v>2000</v>
      </c>
      <c r="B128">
        <v>0.4</v>
      </c>
      <c r="C128">
        <v>0.5</v>
      </c>
      <c r="D128">
        <f t="shared" si="12"/>
        <v>0.72000000000000008</v>
      </c>
      <c r="E128">
        <f t="shared" si="13"/>
        <v>0.9</v>
      </c>
      <c r="F128" s="5">
        <f t="shared" si="9"/>
        <v>57.92</v>
      </c>
      <c r="G128" s="5">
        <f t="shared" si="10"/>
        <v>58.1</v>
      </c>
      <c r="H128" s="4">
        <f t="shared" si="11"/>
        <v>0.71999999999999886</v>
      </c>
      <c r="J128">
        <v>0.72</v>
      </c>
      <c r="K128">
        <v>0.9</v>
      </c>
    </row>
    <row r="129" spans="1:11" x14ac:dyDescent="0.25">
      <c r="A129">
        <v>2001</v>
      </c>
      <c r="B129">
        <v>0.53</v>
      </c>
      <c r="C129">
        <v>0.52</v>
      </c>
      <c r="D129">
        <f t="shared" si="12"/>
        <v>0.95400000000000007</v>
      </c>
      <c r="E129">
        <f t="shared" si="13"/>
        <v>0.93600000000000005</v>
      </c>
      <c r="F129" s="5">
        <f t="shared" si="9"/>
        <v>58.154000000000003</v>
      </c>
      <c r="G129" s="5">
        <f t="shared" si="10"/>
        <v>58.136000000000003</v>
      </c>
      <c r="H129" s="4">
        <f t="shared" si="11"/>
        <v>0.95400000000000063</v>
      </c>
      <c r="J129">
        <v>0.95</v>
      </c>
      <c r="K129">
        <v>0.94</v>
      </c>
    </row>
    <row r="130" spans="1:11" x14ac:dyDescent="0.25">
      <c r="A130">
        <v>2002</v>
      </c>
      <c r="B130">
        <v>0.62</v>
      </c>
      <c r="C130">
        <v>0.54</v>
      </c>
      <c r="D130">
        <f t="shared" si="12"/>
        <v>1.1160000000000001</v>
      </c>
      <c r="E130">
        <f t="shared" si="13"/>
        <v>0.97200000000000009</v>
      </c>
      <c r="F130" s="5">
        <f t="shared" si="9"/>
        <v>58.316000000000003</v>
      </c>
      <c r="G130" s="5">
        <f t="shared" si="10"/>
        <v>58.172000000000004</v>
      </c>
      <c r="H130" s="4">
        <f t="shared" si="11"/>
        <v>1.1159999999999997</v>
      </c>
      <c r="J130">
        <v>1.1200000000000001</v>
      </c>
      <c r="K130">
        <v>0.97</v>
      </c>
    </row>
    <row r="131" spans="1:11" x14ac:dyDescent="0.25">
      <c r="A131">
        <v>2003</v>
      </c>
      <c r="B131">
        <v>0.61</v>
      </c>
      <c r="C131">
        <v>0.56999999999999995</v>
      </c>
      <c r="D131">
        <f t="shared" si="12"/>
        <v>1.0980000000000001</v>
      </c>
      <c r="E131">
        <f t="shared" si="13"/>
        <v>1.026</v>
      </c>
      <c r="F131" s="5">
        <f t="shared" si="9"/>
        <v>58.298000000000002</v>
      </c>
      <c r="G131" s="5">
        <f t="shared" si="10"/>
        <v>58.226000000000006</v>
      </c>
      <c r="H131" s="4">
        <f t="shared" si="11"/>
        <v>1.097999999999999</v>
      </c>
      <c r="J131">
        <v>1.1000000000000001</v>
      </c>
      <c r="K131">
        <v>1.03</v>
      </c>
    </row>
    <row r="132" spans="1:11" x14ac:dyDescent="0.25">
      <c r="A132">
        <v>2004</v>
      </c>
      <c r="B132">
        <v>0.54</v>
      </c>
      <c r="C132">
        <v>0.6</v>
      </c>
      <c r="D132">
        <f t="shared" si="12"/>
        <v>0.97200000000000009</v>
      </c>
      <c r="E132">
        <f t="shared" si="13"/>
        <v>1.08</v>
      </c>
      <c r="F132" s="5">
        <f t="shared" si="9"/>
        <v>58.172000000000004</v>
      </c>
      <c r="G132" s="5">
        <f t="shared" si="10"/>
        <v>58.28</v>
      </c>
      <c r="H132" s="4">
        <f t="shared" si="11"/>
        <v>0.97200000000000131</v>
      </c>
      <c r="J132">
        <v>0.97</v>
      </c>
      <c r="K132">
        <v>1.08</v>
      </c>
    </row>
    <row r="133" spans="1:11" x14ac:dyDescent="0.25">
      <c r="A133">
        <v>2005</v>
      </c>
      <c r="B133">
        <v>0.66</v>
      </c>
      <c r="C133">
        <v>0.6</v>
      </c>
      <c r="D133">
        <f t="shared" si="12"/>
        <v>1.1880000000000002</v>
      </c>
      <c r="E133">
        <f t="shared" si="13"/>
        <v>1.08</v>
      </c>
      <c r="F133" s="5">
        <f t="shared" si="9"/>
        <v>58.388000000000005</v>
      </c>
      <c r="G133" s="5">
        <f t="shared" si="10"/>
        <v>58.28</v>
      </c>
      <c r="H133" s="4">
        <f t="shared" si="11"/>
        <v>1.1880000000000024</v>
      </c>
      <c r="J133">
        <v>1.19</v>
      </c>
      <c r="K133">
        <v>1.08</v>
      </c>
    </row>
    <row r="134" spans="1:11" x14ac:dyDescent="0.25">
      <c r="A134">
        <v>2006</v>
      </c>
      <c r="B134">
        <v>0.61</v>
      </c>
      <c r="C134">
        <v>0.6</v>
      </c>
      <c r="D134">
        <f t="shared" si="12"/>
        <v>1.0980000000000001</v>
      </c>
      <c r="E134">
        <f t="shared" si="13"/>
        <v>1.08</v>
      </c>
      <c r="F134" s="5">
        <f t="shared" si="9"/>
        <v>58.298000000000002</v>
      </c>
      <c r="G134" s="5">
        <f t="shared" si="10"/>
        <v>58.28</v>
      </c>
      <c r="H134" s="4">
        <f t="shared" si="11"/>
        <v>1.097999999999999</v>
      </c>
      <c r="J134">
        <v>1.1000000000000001</v>
      </c>
      <c r="K134">
        <v>1.08</v>
      </c>
    </row>
    <row r="135" spans="1:11" x14ac:dyDescent="0.25">
      <c r="A135">
        <v>2007</v>
      </c>
      <c r="B135">
        <v>0.63</v>
      </c>
      <c r="C135">
        <v>0.61</v>
      </c>
      <c r="D135">
        <f t="shared" si="12"/>
        <v>1.1340000000000001</v>
      </c>
      <c r="E135">
        <f t="shared" si="13"/>
        <v>1.0980000000000001</v>
      </c>
      <c r="F135" s="5">
        <f t="shared" si="9"/>
        <v>58.334000000000003</v>
      </c>
      <c r="G135" s="5">
        <f t="shared" si="10"/>
        <v>58.298000000000002</v>
      </c>
      <c r="H135" s="4">
        <f t="shared" si="11"/>
        <v>1.1340000000000003</v>
      </c>
      <c r="J135">
        <v>1.1299999999999999</v>
      </c>
      <c r="K135">
        <v>1.1000000000000001</v>
      </c>
    </row>
    <row r="136" spans="1:11" x14ac:dyDescent="0.25">
      <c r="A136">
        <v>2008</v>
      </c>
      <c r="B136">
        <v>0.51</v>
      </c>
      <c r="C136">
        <v>0.61</v>
      </c>
      <c r="D136">
        <f t="shared" ref="D136:D145" si="14">+B136*$H$4</f>
        <v>0.91800000000000004</v>
      </c>
      <c r="E136">
        <f t="shared" ref="E136:E145" si="15">+C136*$H$4</f>
        <v>1.0980000000000001</v>
      </c>
      <c r="F136" s="5">
        <f t="shared" si="9"/>
        <v>58.118000000000002</v>
      </c>
      <c r="G136" s="5">
        <f t="shared" si="10"/>
        <v>58.298000000000002</v>
      </c>
      <c r="H136" s="4">
        <f t="shared" si="11"/>
        <v>0.91799999999999926</v>
      </c>
      <c r="J136">
        <v>0.92</v>
      </c>
      <c r="K136">
        <v>1.1000000000000001</v>
      </c>
    </row>
    <row r="137" spans="1:11" x14ac:dyDescent="0.25">
      <c r="A137">
        <v>2009</v>
      </c>
      <c r="B137">
        <v>0.63</v>
      </c>
      <c r="C137">
        <v>0.61</v>
      </c>
      <c r="D137">
        <f t="shared" si="14"/>
        <v>1.1340000000000001</v>
      </c>
      <c r="E137">
        <f t="shared" si="15"/>
        <v>1.0980000000000001</v>
      </c>
      <c r="F137" s="5">
        <f t="shared" ref="F137:F145" si="16">+D137+$F$4</f>
        <v>58.334000000000003</v>
      </c>
      <c r="G137" s="5">
        <f t="shared" ref="G137:G145" si="17">+E137+$F$4</f>
        <v>58.298000000000002</v>
      </c>
      <c r="H137" s="4">
        <f t="shared" ref="H137:H145" si="18">+F137-$F$4</f>
        <v>1.1340000000000003</v>
      </c>
      <c r="J137">
        <v>1.1299999999999999</v>
      </c>
      <c r="K137">
        <v>1.1000000000000001</v>
      </c>
    </row>
    <row r="138" spans="1:11" x14ac:dyDescent="0.25">
      <c r="A138">
        <v>2010</v>
      </c>
      <c r="B138">
        <v>0.69</v>
      </c>
      <c r="C138">
        <v>0.61</v>
      </c>
      <c r="D138">
        <f t="shared" si="14"/>
        <v>1.242</v>
      </c>
      <c r="E138">
        <f t="shared" si="15"/>
        <v>1.0980000000000001</v>
      </c>
      <c r="F138" s="5">
        <f t="shared" si="16"/>
        <v>58.442</v>
      </c>
      <c r="G138" s="5">
        <f t="shared" si="17"/>
        <v>58.298000000000002</v>
      </c>
      <c r="H138" s="4">
        <f t="shared" si="18"/>
        <v>1.2419999999999973</v>
      </c>
      <c r="J138">
        <v>1.24</v>
      </c>
      <c r="K138">
        <v>1.1000000000000001</v>
      </c>
    </row>
    <row r="139" spans="1:11" x14ac:dyDescent="0.25">
      <c r="A139">
        <v>2011</v>
      </c>
      <c r="B139">
        <v>0.56000000000000005</v>
      </c>
      <c r="C139">
        <v>0.63</v>
      </c>
      <c r="D139">
        <f t="shared" si="14"/>
        <v>1.0080000000000002</v>
      </c>
      <c r="E139">
        <f t="shared" si="15"/>
        <v>1.1340000000000001</v>
      </c>
      <c r="F139" s="5">
        <f t="shared" si="16"/>
        <v>58.208000000000006</v>
      </c>
      <c r="G139" s="5">
        <f t="shared" si="17"/>
        <v>58.334000000000003</v>
      </c>
      <c r="H139" s="4">
        <f t="shared" si="18"/>
        <v>1.0080000000000027</v>
      </c>
      <c r="J139">
        <v>1.01</v>
      </c>
      <c r="K139">
        <v>1.1299999999999999</v>
      </c>
    </row>
    <row r="140" spans="1:11" x14ac:dyDescent="0.25">
      <c r="A140">
        <v>2012</v>
      </c>
      <c r="B140">
        <v>0.61</v>
      </c>
      <c r="C140">
        <v>0.66</v>
      </c>
      <c r="D140">
        <f t="shared" si="14"/>
        <v>1.0980000000000001</v>
      </c>
      <c r="E140">
        <f t="shared" si="15"/>
        <v>1.1880000000000002</v>
      </c>
      <c r="F140" s="5">
        <f t="shared" si="16"/>
        <v>58.298000000000002</v>
      </c>
      <c r="G140" s="5">
        <f t="shared" si="17"/>
        <v>58.388000000000005</v>
      </c>
      <c r="H140" s="4">
        <f t="shared" si="18"/>
        <v>1.097999999999999</v>
      </c>
      <c r="J140">
        <v>1.1000000000000001</v>
      </c>
      <c r="K140">
        <v>1.19</v>
      </c>
    </row>
    <row r="141" spans="1:11" x14ac:dyDescent="0.25">
      <c r="A141">
        <v>2013</v>
      </c>
      <c r="B141">
        <v>0.64</v>
      </c>
      <c r="C141">
        <v>0.71</v>
      </c>
      <c r="D141">
        <f t="shared" si="14"/>
        <v>1.1520000000000001</v>
      </c>
      <c r="E141">
        <f t="shared" si="15"/>
        <v>1.278</v>
      </c>
      <c r="F141" s="5">
        <f t="shared" si="16"/>
        <v>58.352000000000004</v>
      </c>
      <c r="G141" s="5">
        <f t="shared" si="17"/>
        <v>58.478000000000002</v>
      </c>
      <c r="H141" s="4">
        <f t="shared" si="18"/>
        <v>1.152000000000001</v>
      </c>
      <c r="J141">
        <v>1.1499999999999999</v>
      </c>
      <c r="K141">
        <v>1.28</v>
      </c>
    </row>
    <row r="142" spans="1:11" x14ac:dyDescent="0.25">
      <c r="A142">
        <v>2014</v>
      </c>
      <c r="B142">
        <v>0.73</v>
      </c>
      <c r="C142">
        <v>0.76</v>
      </c>
      <c r="D142">
        <f t="shared" si="14"/>
        <v>1.3140000000000001</v>
      </c>
      <c r="E142">
        <f t="shared" si="15"/>
        <v>1.3680000000000001</v>
      </c>
      <c r="F142" s="5">
        <f t="shared" si="16"/>
        <v>58.514000000000003</v>
      </c>
      <c r="G142" s="5">
        <f t="shared" si="17"/>
        <v>58.568000000000005</v>
      </c>
      <c r="H142" s="4">
        <f t="shared" si="18"/>
        <v>1.3140000000000001</v>
      </c>
      <c r="J142">
        <v>1.31</v>
      </c>
      <c r="K142">
        <v>1.37</v>
      </c>
    </row>
    <row r="143" spans="1:11" x14ac:dyDescent="0.25">
      <c r="A143">
        <v>2015</v>
      </c>
      <c r="B143">
        <v>0.86</v>
      </c>
      <c r="C143">
        <v>0.82</v>
      </c>
      <c r="D143">
        <f t="shared" si="14"/>
        <v>1.548</v>
      </c>
      <c r="E143">
        <f t="shared" si="15"/>
        <v>1.476</v>
      </c>
      <c r="F143" s="5">
        <f t="shared" si="16"/>
        <v>58.748000000000005</v>
      </c>
      <c r="G143" s="5">
        <f t="shared" si="17"/>
        <v>58.676000000000002</v>
      </c>
      <c r="H143" s="4">
        <f t="shared" si="18"/>
        <v>1.5480000000000018</v>
      </c>
      <c r="J143">
        <v>1.55</v>
      </c>
      <c r="K143">
        <v>1.48</v>
      </c>
    </row>
    <row r="144" spans="1:11" x14ac:dyDescent="0.25">
      <c r="A144">
        <v>2016</v>
      </c>
      <c r="B144">
        <v>0.98</v>
      </c>
      <c r="C144">
        <v>0.88</v>
      </c>
      <c r="D144">
        <f t="shared" si="14"/>
        <v>1.764</v>
      </c>
      <c r="E144">
        <f t="shared" si="15"/>
        <v>1.5840000000000001</v>
      </c>
      <c r="F144" s="5">
        <f t="shared" si="16"/>
        <v>58.964000000000006</v>
      </c>
      <c r="G144" s="5">
        <f t="shared" si="17"/>
        <v>58.784000000000006</v>
      </c>
      <c r="H144" s="4">
        <f t="shared" si="18"/>
        <v>1.7640000000000029</v>
      </c>
      <c r="J144">
        <v>1.76</v>
      </c>
      <c r="K144">
        <v>1.58</v>
      </c>
    </row>
    <row r="145" spans="1:11" x14ac:dyDescent="0.25">
      <c r="A145">
        <v>2017</v>
      </c>
      <c r="B145">
        <v>0.89</v>
      </c>
      <c r="C145">
        <v>0.95</v>
      </c>
      <c r="D145">
        <f t="shared" si="14"/>
        <v>1.6020000000000001</v>
      </c>
      <c r="E145">
        <f t="shared" si="15"/>
        <v>1.71</v>
      </c>
      <c r="F145" s="5">
        <f t="shared" si="16"/>
        <v>58.802</v>
      </c>
      <c r="G145" s="5">
        <f t="shared" si="17"/>
        <v>58.910000000000004</v>
      </c>
      <c r="H145" s="4">
        <f t="shared" si="18"/>
        <v>1.6019999999999968</v>
      </c>
      <c r="J145">
        <v>1.6</v>
      </c>
      <c r="K145">
        <v>1.71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0"/>
  <sheetViews>
    <sheetView workbookViewId="0">
      <selection activeCell="K137" sqref="K137"/>
    </sheetView>
  </sheetViews>
  <sheetFormatPr defaultRowHeight="15" x14ac:dyDescent="0.25"/>
  <sheetData>
    <row r="1" spans="1:3" x14ac:dyDescent="0.25">
      <c r="A1" t="s">
        <v>42</v>
      </c>
    </row>
    <row r="2" spans="1:3" x14ac:dyDescent="0.25">
      <c r="A2" t="s">
        <v>23</v>
      </c>
      <c r="B2" t="s">
        <v>24</v>
      </c>
      <c r="C2" t="s">
        <v>41</v>
      </c>
    </row>
    <row r="3" spans="1:3" x14ac:dyDescent="0.25">
      <c r="A3">
        <v>1880</v>
      </c>
      <c r="B3">
        <v>-0.19</v>
      </c>
      <c r="C3">
        <v>-0.23</v>
      </c>
    </row>
    <row r="4" spans="1:3" x14ac:dyDescent="0.25">
      <c r="A4">
        <v>1881</v>
      </c>
      <c r="B4">
        <v>-0.11</v>
      </c>
      <c r="C4">
        <v>-0.23</v>
      </c>
    </row>
    <row r="5" spans="1:3" x14ac:dyDescent="0.25">
      <c r="A5">
        <v>1882</v>
      </c>
      <c r="B5">
        <v>-0.11</v>
      </c>
      <c r="C5">
        <v>-0.23</v>
      </c>
    </row>
    <row r="6" spans="1:3" x14ac:dyDescent="0.25">
      <c r="A6">
        <v>1883</v>
      </c>
      <c r="B6">
        <v>-0.2</v>
      </c>
      <c r="C6">
        <v>-0.23</v>
      </c>
    </row>
    <row r="7" spans="1:3" x14ac:dyDescent="0.25">
      <c r="A7">
        <v>1884</v>
      </c>
      <c r="B7">
        <v>-0.28000000000000003</v>
      </c>
      <c r="C7">
        <v>-0.24</v>
      </c>
    </row>
    <row r="8" spans="1:3" x14ac:dyDescent="0.25">
      <c r="A8">
        <v>1885</v>
      </c>
      <c r="B8">
        <v>-0.32</v>
      </c>
      <c r="C8">
        <v>-0.24</v>
      </c>
    </row>
    <row r="9" spans="1:3" x14ac:dyDescent="0.25">
      <c r="A9">
        <v>1886</v>
      </c>
      <c r="B9">
        <v>-0.32</v>
      </c>
      <c r="C9">
        <v>-0.24</v>
      </c>
    </row>
    <row r="10" spans="1:3" x14ac:dyDescent="0.25">
      <c r="A10">
        <v>1887</v>
      </c>
      <c r="B10">
        <v>-0.35</v>
      </c>
      <c r="C10">
        <v>-0.24</v>
      </c>
    </row>
    <row r="11" spans="1:3" x14ac:dyDescent="0.25">
      <c r="A11">
        <v>1888</v>
      </c>
      <c r="B11">
        <v>-0.19</v>
      </c>
      <c r="C11">
        <v>-0.25</v>
      </c>
    </row>
    <row r="12" spans="1:3" x14ac:dyDescent="0.25">
      <c r="A12">
        <v>1889</v>
      </c>
      <c r="B12">
        <v>-0.12</v>
      </c>
      <c r="C12">
        <v>-0.25</v>
      </c>
    </row>
    <row r="13" spans="1:3" x14ac:dyDescent="0.25">
      <c r="A13">
        <v>1890</v>
      </c>
      <c r="B13">
        <v>-0.38</v>
      </c>
      <c r="C13">
        <v>-0.25</v>
      </c>
    </row>
    <row r="14" spans="1:3" x14ac:dyDescent="0.25">
      <c r="A14">
        <v>1891</v>
      </c>
      <c r="B14">
        <v>-0.25</v>
      </c>
      <c r="C14">
        <v>-0.25</v>
      </c>
    </row>
    <row r="15" spans="1:3" x14ac:dyDescent="0.25">
      <c r="A15">
        <v>1892</v>
      </c>
      <c r="B15">
        <v>-0.28000000000000003</v>
      </c>
      <c r="C15">
        <v>-0.25</v>
      </c>
    </row>
    <row r="16" spans="1:3" x14ac:dyDescent="0.25">
      <c r="A16">
        <v>1893</v>
      </c>
      <c r="B16">
        <v>-0.33</v>
      </c>
      <c r="C16">
        <v>-0.26</v>
      </c>
    </row>
    <row r="17" spans="1:3" x14ac:dyDescent="0.25">
      <c r="A17">
        <v>1894</v>
      </c>
      <c r="B17">
        <v>-0.32</v>
      </c>
      <c r="C17">
        <v>-0.26</v>
      </c>
    </row>
    <row r="18" spans="1:3" x14ac:dyDescent="0.25">
      <c r="A18">
        <v>1895</v>
      </c>
      <c r="B18">
        <v>-0.24</v>
      </c>
      <c r="C18">
        <v>-0.26</v>
      </c>
    </row>
    <row r="19" spans="1:3" x14ac:dyDescent="0.25">
      <c r="A19">
        <v>1896</v>
      </c>
      <c r="B19">
        <v>-0.13</v>
      </c>
      <c r="C19">
        <v>-0.26</v>
      </c>
    </row>
    <row r="20" spans="1:3" x14ac:dyDescent="0.25">
      <c r="A20">
        <v>1897</v>
      </c>
      <c r="B20">
        <v>-0.13</v>
      </c>
      <c r="C20">
        <v>-0.26</v>
      </c>
    </row>
    <row r="21" spans="1:3" x14ac:dyDescent="0.25">
      <c r="A21">
        <v>1898</v>
      </c>
      <c r="B21">
        <v>-0.28000000000000003</v>
      </c>
      <c r="C21">
        <v>-0.26</v>
      </c>
    </row>
    <row r="22" spans="1:3" x14ac:dyDescent="0.25">
      <c r="A22">
        <v>1899</v>
      </c>
      <c r="B22">
        <v>-0.19</v>
      </c>
      <c r="C22">
        <v>-0.27</v>
      </c>
    </row>
    <row r="23" spans="1:3" x14ac:dyDescent="0.25">
      <c r="A23">
        <v>1900</v>
      </c>
      <c r="B23">
        <v>-0.1</v>
      </c>
      <c r="C23">
        <v>-0.27</v>
      </c>
    </row>
    <row r="24" spans="1:3" x14ac:dyDescent="0.25">
      <c r="A24">
        <v>1901</v>
      </c>
      <c r="B24">
        <v>-0.16</v>
      </c>
      <c r="C24">
        <v>-0.27</v>
      </c>
    </row>
    <row r="25" spans="1:3" x14ac:dyDescent="0.25">
      <c r="A25">
        <v>1902</v>
      </c>
      <c r="B25">
        <v>-0.3</v>
      </c>
      <c r="C25">
        <v>-0.27</v>
      </c>
    </row>
    <row r="26" spans="1:3" x14ac:dyDescent="0.25">
      <c r="A26">
        <v>1903</v>
      </c>
      <c r="B26">
        <v>-0.39</v>
      </c>
      <c r="C26">
        <v>-0.27</v>
      </c>
    </row>
    <row r="27" spans="1:3" x14ac:dyDescent="0.25">
      <c r="A27">
        <v>1904</v>
      </c>
      <c r="B27">
        <v>-0.5</v>
      </c>
      <c r="C27">
        <v>-0.27</v>
      </c>
    </row>
    <row r="28" spans="1:3" x14ac:dyDescent="0.25">
      <c r="A28">
        <v>1905</v>
      </c>
      <c r="B28">
        <v>-0.28000000000000003</v>
      </c>
      <c r="C28">
        <v>-0.27</v>
      </c>
    </row>
    <row r="29" spans="1:3" x14ac:dyDescent="0.25">
      <c r="A29">
        <v>1906</v>
      </c>
      <c r="B29">
        <v>-0.23</v>
      </c>
      <c r="C29">
        <v>-0.27</v>
      </c>
    </row>
    <row r="30" spans="1:3" x14ac:dyDescent="0.25">
      <c r="A30">
        <v>1907</v>
      </c>
      <c r="B30">
        <v>-0.4</v>
      </c>
      <c r="C30">
        <v>-0.28000000000000003</v>
      </c>
    </row>
    <row r="31" spans="1:3" x14ac:dyDescent="0.25">
      <c r="A31">
        <v>1908</v>
      </c>
      <c r="B31">
        <v>-0.44</v>
      </c>
      <c r="C31">
        <v>-0.28000000000000003</v>
      </c>
    </row>
    <row r="32" spans="1:3" x14ac:dyDescent="0.25">
      <c r="A32">
        <v>1909</v>
      </c>
      <c r="B32">
        <v>-0.48</v>
      </c>
      <c r="C32">
        <v>-0.28000000000000003</v>
      </c>
    </row>
    <row r="33" spans="1:3" x14ac:dyDescent="0.25">
      <c r="A33">
        <v>1910</v>
      </c>
      <c r="B33">
        <v>-0.44</v>
      </c>
      <c r="C33">
        <v>-0.27</v>
      </c>
    </row>
    <row r="34" spans="1:3" x14ac:dyDescent="0.25">
      <c r="A34">
        <v>1911</v>
      </c>
      <c r="B34">
        <v>-0.43</v>
      </c>
      <c r="C34">
        <v>-0.27</v>
      </c>
    </row>
    <row r="35" spans="1:3" x14ac:dyDescent="0.25">
      <c r="A35">
        <v>1912</v>
      </c>
      <c r="B35">
        <v>-0.36</v>
      </c>
      <c r="C35">
        <v>-0.27</v>
      </c>
    </row>
    <row r="36" spans="1:3" x14ac:dyDescent="0.25">
      <c r="A36">
        <v>1913</v>
      </c>
      <c r="B36">
        <v>-0.35</v>
      </c>
      <c r="C36">
        <v>-0.27</v>
      </c>
    </row>
    <row r="37" spans="1:3" x14ac:dyDescent="0.25">
      <c r="A37">
        <v>1914</v>
      </c>
      <c r="B37">
        <v>-0.16</v>
      </c>
      <c r="C37">
        <v>-0.27</v>
      </c>
    </row>
    <row r="38" spans="1:3" x14ac:dyDescent="0.25">
      <c r="A38">
        <v>1915</v>
      </c>
      <c r="B38">
        <v>-0.12</v>
      </c>
      <c r="C38">
        <v>-0.26</v>
      </c>
    </row>
    <row r="39" spans="1:3" x14ac:dyDescent="0.25">
      <c r="A39">
        <v>1916</v>
      </c>
      <c r="B39">
        <v>-0.33</v>
      </c>
      <c r="C39">
        <v>-0.26</v>
      </c>
    </row>
    <row r="40" spans="1:3" x14ac:dyDescent="0.25">
      <c r="A40">
        <v>1917</v>
      </c>
      <c r="B40">
        <v>-0.44</v>
      </c>
      <c r="C40">
        <v>-0.26</v>
      </c>
    </row>
    <row r="41" spans="1:3" x14ac:dyDescent="0.25">
      <c r="A41">
        <v>1918</v>
      </c>
      <c r="B41">
        <v>-0.28000000000000003</v>
      </c>
      <c r="C41">
        <v>-0.25</v>
      </c>
    </row>
    <row r="42" spans="1:3" x14ac:dyDescent="0.25">
      <c r="A42">
        <v>1919</v>
      </c>
      <c r="B42">
        <v>-0.27</v>
      </c>
      <c r="C42">
        <v>-0.25</v>
      </c>
    </row>
    <row r="43" spans="1:3" x14ac:dyDescent="0.25">
      <c r="A43">
        <v>1920</v>
      </c>
      <c r="B43">
        <v>-0.26</v>
      </c>
      <c r="C43">
        <v>-0.24</v>
      </c>
    </row>
    <row r="44" spans="1:3" x14ac:dyDescent="0.25">
      <c r="A44">
        <v>1921</v>
      </c>
      <c r="B44">
        <v>-0.18</v>
      </c>
      <c r="C44">
        <v>-0.24</v>
      </c>
    </row>
    <row r="45" spans="1:3" x14ac:dyDescent="0.25">
      <c r="A45">
        <v>1922</v>
      </c>
      <c r="B45">
        <v>-0.27</v>
      </c>
      <c r="C45">
        <v>-0.23</v>
      </c>
    </row>
    <row r="46" spans="1:3" x14ac:dyDescent="0.25">
      <c r="A46">
        <v>1923</v>
      </c>
      <c r="B46">
        <v>-0.25</v>
      </c>
      <c r="C46">
        <v>-0.22</v>
      </c>
    </row>
    <row r="47" spans="1:3" x14ac:dyDescent="0.25">
      <c r="A47">
        <v>1924</v>
      </c>
      <c r="B47">
        <v>-0.26</v>
      </c>
      <c r="C47">
        <v>-0.21</v>
      </c>
    </row>
    <row r="48" spans="1:3" x14ac:dyDescent="0.25">
      <c r="A48">
        <v>1925</v>
      </c>
      <c r="B48">
        <v>-0.21</v>
      </c>
      <c r="C48">
        <v>-0.21</v>
      </c>
    </row>
    <row r="49" spans="1:3" x14ac:dyDescent="0.25">
      <c r="A49">
        <v>1926</v>
      </c>
      <c r="B49">
        <v>-0.09</v>
      </c>
      <c r="C49">
        <v>-0.2</v>
      </c>
    </row>
    <row r="50" spans="1:3" x14ac:dyDescent="0.25">
      <c r="A50">
        <v>1927</v>
      </c>
      <c r="B50">
        <v>-0.2</v>
      </c>
      <c r="C50">
        <v>-0.19</v>
      </c>
    </row>
    <row r="51" spans="1:3" x14ac:dyDescent="0.25">
      <c r="A51">
        <v>1928</v>
      </c>
      <c r="B51">
        <v>-0.19</v>
      </c>
      <c r="C51">
        <v>-0.18</v>
      </c>
    </row>
    <row r="52" spans="1:3" x14ac:dyDescent="0.25">
      <c r="A52">
        <v>1929</v>
      </c>
      <c r="B52">
        <v>-0.35</v>
      </c>
      <c r="C52">
        <v>-0.17</v>
      </c>
    </row>
    <row r="53" spans="1:3" x14ac:dyDescent="0.25">
      <c r="A53">
        <v>1930</v>
      </c>
      <c r="B53">
        <v>-0.15</v>
      </c>
      <c r="C53">
        <v>-0.16</v>
      </c>
    </row>
    <row r="54" spans="1:3" x14ac:dyDescent="0.25">
      <c r="A54">
        <v>1931</v>
      </c>
      <c r="B54">
        <v>-0.1</v>
      </c>
      <c r="C54">
        <v>-0.16</v>
      </c>
    </row>
    <row r="55" spans="1:3" x14ac:dyDescent="0.25">
      <c r="A55">
        <v>1932</v>
      </c>
      <c r="B55">
        <v>-0.17</v>
      </c>
      <c r="C55">
        <v>-0.15</v>
      </c>
    </row>
    <row r="56" spans="1:3" x14ac:dyDescent="0.25">
      <c r="A56">
        <v>1933</v>
      </c>
      <c r="B56">
        <v>-0.3</v>
      </c>
      <c r="C56">
        <v>-0.14000000000000001</v>
      </c>
    </row>
    <row r="57" spans="1:3" x14ac:dyDescent="0.25">
      <c r="A57">
        <v>1934</v>
      </c>
      <c r="B57">
        <v>-0.14000000000000001</v>
      </c>
      <c r="C57">
        <v>-0.13</v>
      </c>
    </row>
    <row r="58" spans="1:3" x14ac:dyDescent="0.25">
      <c r="A58">
        <v>1935</v>
      </c>
      <c r="B58">
        <v>-0.21</v>
      </c>
      <c r="C58">
        <v>-0.13</v>
      </c>
    </row>
    <row r="59" spans="1:3" x14ac:dyDescent="0.25">
      <c r="A59">
        <v>1936</v>
      </c>
      <c r="B59">
        <v>-0.16</v>
      </c>
      <c r="C59">
        <v>-0.12</v>
      </c>
    </row>
    <row r="60" spans="1:3" x14ac:dyDescent="0.25">
      <c r="A60">
        <v>1937</v>
      </c>
      <c r="B60">
        <v>-0.04</v>
      </c>
      <c r="C60">
        <v>-0.11</v>
      </c>
    </row>
    <row r="61" spans="1:3" x14ac:dyDescent="0.25">
      <c r="A61">
        <v>1938</v>
      </c>
      <c r="B61">
        <v>-0.03</v>
      </c>
      <c r="C61">
        <v>-0.11</v>
      </c>
    </row>
    <row r="62" spans="1:3" x14ac:dyDescent="0.25">
      <c r="A62">
        <v>1939</v>
      </c>
      <c r="B62">
        <v>-0.03</v>
      </c>
      <c r="C62">
        <v>-0.1</v>
      </c>
    </row>
    <row r="63" spans="1:3" x14ac:dyDescent="0.25">
      <c r="A63">
        <v>1940</v>
      </c>
      <c r="B63">
        <v>0.11</v>
      </c>
      <c r="C63">
        <v>-0.09</v>
      </c>
    </row>
    <row r="64" spans="1:3" x14ac:dyDescent="0.25">
      <c r="A64">
        <v>1941</v>
      </c>
      <c r="B64">
        <v>0.18</v>
      </c>
      <c r="C64">
        <v>-0.09</v>
      </c>
    </row>
    <row r="65" spans="1:3" x14ac:dyDescent="0.25">
      <c r="A65">
        <v>1942</v>
      </c>
      <c r="B65">
        <v>0.05</v>
      </c>
      <c r="C65">
        <v>-0.08</v>
      </c>
    </row>
    <row r="66" spans="1:3" x14ac:dyDescent="0.25">
      <c r="A66">
        <v>1943</v>
      </c>
      <c r="B66">
        <v>7.0000000000000007E-2</v>
      </c>
      <c r="C66">
        <v>-0.08</v>
      </c>
    </row>
    <row r="67" spans="1:3" x14ac:dyDescent="0.25">
      <c r="A67">
        <v>1944</v>
      </c>
      <c r="B67">
        <v>0.2</v>
      </c>
      <c r="C67">
        <v>-7.0000000000000007E-2</v>
      </c>
    </row>
    <row r="68" spans="1:3" x14ac:dyDescent="0.25">
      <c r="A68">
        <v>1945</v>
      </c>
      <c r="B68">
        <v>0.08</v>
      </c>
      <c r="C68">
        <v>-7.0000000000000007E-2</v>
      </c>
    </row>
    <row r="69" spans="1:3" x14ac:dyDescent="0.25">
      <c r="A69">
        <v>1946</v>
      </c>
      <c r="B69">
        <v>-7.0000000000000007E-2</v>
      </c>
      <c r="C69">
        <v>-0.06</v>
      </c>
    </row>
    <row r="70" spans="1:3" x14ac:dyDescent="0.25">
      <c r="A70">
        <v>1947</v>
      </c>
      <c r="B70">
        <v>-0.04</v>
      </c>
      <c r="C70">
        <v>-0.06</v>
      </c>
    </row>
    <row r="71" spans="1:3" x14ac:dyDescent="0.25">
      <c r="A71">
        <v>1948</v>
      </c>
      <c r="B71">
        <v>-0.11</v>
      </c>
      <c r="C71">
        <v>-0.05</v>
      </c>
    </row>
    <row r="72" spans="1:3" x14ac:dyDescent="0.25">
      <c r="A72">
        <v>1949</v>
      </c>
      <c r="B72">
        <v>-0.11</v>
      </c>
      <c r="C72">
        <v>-0.05</v>
      </c>
    </row>
    <row r="73" spans="1:3" x14ac:dyDescent="0.25">
      <c r="A73">
        <v>1950</v>
      </c>
      <c r="B73">
        <v>-0.18</v>
      </c>
      <c r="C73">
        <v>-0.04</v>
      </c>
    </row>
    <row r="74" spans="1:3" x14ac:dyDescent="0.25">
      <c r="A74">
        <v>1951</v>
      </c>
      <c r="B74">
        <v>-7.0000000000000007E-2</v>
      </c>
      <c r="C74">
        <v>-0.04</v>
      </c>
    </row>
    <row r="75" spans="1:3" x14ac:dyDescent="0.25">
      <c r="A75">
        <v>1952</v>
      </c>
      <c r="B75">
        <v>0.01</v>
      </c>
      <c r="C75">
        <v>-0.04</v>
      </c>
    </row>
    <row r="76" spans="1:3" x14ac:dyDescent="0.25">
      <c r="A76">
        <v>1953</v>
      </c>
      <c r="B76">
        <v>7.0000000000000007E-2</v>
      </c>
      <c r="C76">
        <v>-0.03</v>
      </c>
    </row>
    <row r="77" spans="1:3" x14ac:dyDescent="0.25">
      <c r="A77">
        <v>1954</v>
      </c>
      <c r="B77">
        <v>-0.15</v>
      </c>
      <c r="C77">
        <v>-0.03</v>
      </c>
    </row>
    <row r="78" spans="1:3" x14ac:dyDescent="0.25">
      <c r="A78">
        <v>1955</v>
      </c>
      <c r="B78">
        <v>-0.15</v>
      </c>
      <c r="C78">
        <v>-0.02</v>
      </c>
    </row>
    <row r="79" spans="1:3" x14ac:dyDescent="0.25">
      <c r="A79">
        <v>1956</v>
      </c>
      <c r="B79">
        <v>-0.21</v>
      </c>
      <c r="C79">
        <v>-0.02</v>
      </c>
    </row>
    <row r="80" spans="1:3" x14ac:dyDescent="0.25">
      <c r="A80">
        <v>1957</v>
      </c>
      <c r="B80">
        <v>0.05</v>
      </c>
      <c r="C80">
        <v>-0.02</v>
      </c>
    </row>
    <row r="81" spans="1:3" x14ac:dyDescent="0.25">
      <c r="A81">
        <v>1958</v>
      </c>
      <c r="B81">
        <v>0.08</v>
      </c>
      <c r="C81">
        <v>-0.01</v>
      </c>
    </row>
    <row r="82" spans="1:3" x14ac:dyDescent="0.25">
      <c r="A82">
        <v>1959</v>
      </c>
      <c r="B82">
        <v>0.03</v>
      </c>
      <c r="C82">
        <v>-0.01</v>
      </c>
    </row>
    <row r="83" spans="1:3" x14ac:dyDescent="0.25">
      <c r="A83">
        <v>1960</v>
      </c>
      <c r="B83">
        <v>-0.02</v>
      </c>
      <c r="C83">
        <v>-0.01</v>
      </c>
    </row>
    <row r="84" spans="1:3" x14ac:dyDescent="0.25">
      <c r="A84">
        <v>1961</v>
      </c>
      <c r="B84">
        <v>0.06</v>
      </c>
      <c r="C84">
        <v>0</v>
      </c>
    </row>
    <row r="85" spans="1:3" x14ac:dyDescent="0.25">
      <c r="A85">
        <v>1962</v>
      </c>
      <c r="B85">
        <v>0.05</v>
      </c>
      <c r="C85">
        <v>0</v>
      </c>
    </row>
    <row r="86" spans="1:3" x14ac:dyDescent="0.25">
      <c r="A86">
        <v>1963</v>
      </c>
      <c r="B86">
        <v>7.0000000000000007E-2</v>
      </c>
      <c r="C86">
        <v>0.01</v>
      </c>
    </row>
    <row r="87" spans="1:3" x14ac:dyDescent="0.25">
      <c r="A87">
        <v>1964</v>
      </c>
      <c r="B87">
        <v>-0.2</v>
      </c>
      <c r="C87">
        <v>0.01</v>
      </c>
    </row>
    <row r="88" spans="1:3" x14ac:dyDescent="0.25">
      <c r="A88">
        <v>1965</v>
      </c>
      <c r="B88">
        <v>-0.11</v>
      </c>
      <c r="C88">
        <v>0.02</v>
      </c>
    </row>
    <row r="89" spans="1:3" x14ac:dyDescent="0.25">
      <c r="A89">
        <v>1966</v>
      </c>
      <c r="B89">
        <v>-0.05</v>
      </c>
      <c r="C89">
        <v>0.03</v>
      </c>
    </row>
    <row r="90" spans="1:3" x14ac:dyDescent="0.25">
      <c r="A90">
        <v>1967</v>
      </c>
      <c r="B90">
        <v>-0.02</v>
      </c>
      <c r="C90">
        <v>0.04</v>
      </c>
    </row>
    <row r="91" spans="1:3" x14ac:dyDescent="0.25">
      <c r="A91">
        <v>1968</v>
      </c>
      <c r="B91">
        <v>-7.0000000000000007E-2</v>
      </c>
      <c r="C91">
        <v>0.04</v>
      </c>
    </row>
    <row r="92" spans="1:3" x14ac:dyDescent="0.25">
      <c r="A92">
        <v>1969</v>
      </c>
      <c r="B92">
        <v>7.0000000000000007E-2</v>
      </c>
      <c r="C92">
        <v>0.05</v>
      </c>
    </row>
    <row r="93" spans="1:3" x14ac:dyDescent="0.25">
      <c r="A93">
        <v>1970</v>
      </c>
      <c r="B93">
        <v>0.03</v>
      </c>
      <c r="C93">
        <v>0.06</v>
      </c>
    </row>
    <row r="94" spans="1:3" x14ac:dyDescent="0.25">
      <c r="A94">
        <v>1971</v>
      </c>
      <c r="B94">
        <v>-0.09</v>
      </c>
      <c r="C94">
        <v>7.0000000000000007E-2</v>
      </c>
    </row>
    <row r="95" spans="1:3" x14ac:dyDescent="0.25">
      <c r="A95">
        <v>1972</v>
      </c>
      <c r="B95">
        <v>0.01</v>
      </c>
      <c r="C95">
        <v>0.08</v>
      </c>
    </row>
    <row r="96" spans="1:3" x14ac:dyDescent="0.25">
      <c r="A96">
        <v>1973</v>
      </c>
      <c r="B96">
        <v>0.15</v>
      </c>
      <c r="C96">
        <v>0.09</v>
      </c>
    </row>
    <row r="97" spans="1:3" x14ac:dyDescent="0.25">
      <c r="A97">
        <v>1974</v>
      </c>
      <c r="B97">
        <v>-0.08</v>
      </c>
      <c r="C97">
        <v>0.1</v>
      </c>
    </row>
    <row r="98" spans="1:3" x14ac:dyDescent="0.25">
      <c r="A98">
        <v>1975</v>
      </c>
      <c r="B98">
        <v>-0.01</v>
      </c>
      <c r="C98">
        <v>0.11</v>
      </c>
    </row>
    <row r="99" spans="1:3" x14ac:dyDescent="0.25">
      <c r="A99">
        <v>1976</v>
      </c>
      <c r="B99">
        <v>-0.1</v>
      </c>
      <c r="C99">
        <v>0.12</v>
      </c>
    </row>
    <row r="100" spans="1:3" x14ac:dyDescent="0.25">
      <c r="A100">
        <v>1977</v>
      </c>
      <c r="B100">
        <v>0.17</v>
      </c>
      <c r="C100">
        <v>0.14000000000000001</v>
      </c>
    </row>
    <row r="101" spans="1:3" x14ac:dyDescent="0.25">
      <c r="A101">
        <v>1978</v>
      </c>
      <c r="B101">
        <v>7.0000000000000007E-2</v>
      </c>
      <c r="C101">
        <v>0.15</v>
      </c>
    </row>
    <row r="102" spans="1:3" x14ac:dyDescent="0.25">
      <c r="A102">
        <v>1979</v>
      </c>
      <c r="B102">
        <v>0.16</v>
      </c>
      <c r="C102">
        <v>0.16</v>
      </c>
    </row>
    <row r="103" spans="1:3" x14ac:dyDescent="0.25">
      <c r="A103">
        <v>1980</v>
      </c>
      <c r="B103">
        <v>0.27</v>
      </c>
      <c r="C103">
        <v>0.17</v>
      </c>
    </row>
    <row r="104" spans="1:3" x14ac:dyDescent="0.25">
      <c r="A104">
        <v>1981</v>
      </c>
      <c r="B104">
        <v>0.33</v>
      </c>
      <c r="C104">
        <v>0.19</v>
      </c>
    </row>
    <row r="105" spans="1:3" x14ac:dyDescent="0.25">
      <c r="A105">
        <v>1982</v>
      </c>
      <c r="B105">
        <v>0.13</v>
      </c>
      <c r="C105">
        <v>0.2</v>
      </c>
    </row>
    <row r="106" spans="1:3" x14ac:dyDescent="0.25">
      <c r="A106">
        <v>1983</v>
      </c>
      <c r="B106">
        <v>0.31</v>
      </c>
      <c r="C106">
        <v>0.21</v>
      </c>
    </row>
    <row r="107" spans="1:3" x14ac:dyDescent="0.25">
      <c r="A107">
        <v>1984</v>
      </c>
      <c r="B107">
        <v>0.16</v>
      </c>
      <c r="C107">
        <v>0.23</v>
      </c>
    </row>
    <row r="108" spans="1:3" x14ac:dyDescent="0.25">
      <c r="A108">
        <v>1985</v>
      </c>
      <c r="B108">
        <v>0.11</v>
      </c>
      <c r="C108">
        <v>0.24</v>
      </c>
    </row>
    <row r="109" spans="1:3" x14ac:dyDescent="0.25">
      <c r="A109">
        <v>1986</v>
      </c>
      <c r="B109">
        <v>0.18</v>
      </c>
      <c r="C109">
        <v>0.26</v>
      </c>
    </row>
    <row r="110" spans="1:3" x14ac:dyDescent="0.25">
      <c r="A110">
        <v>1987</v>
      </c>
      <c r="B110">
        <v>0.33</v>
      </c>
      <c r="C110">
        <v>0.27</v>
      </c>
    </row>
    <row r="111" spans="1:3" x14ac:dyDescent="0.25">
      <c r="A111">
        <v>1988</v>
      </c>
      <c r="B111">
        <v>0.4</v>
      </c>
      <c r="C111">
        <v>0.28999999999999998</v>
      </c>
    </row>
    <row r="112" spans="1:3" x14ac:dyDescent="0.25">
      <c r="A112">
        <v>1989</v>
      </c>
      <c r="B112">
        <v>0.28000000000000003</v>
      </c>
      <c r="C112">
        <v>0.31</v>
      </c>
    </row>
    <row r="113" spans="1:3" x14ac:dyDescent="0.25">
      <c r="A113">
        <v>1990</v>
      </c>
      <c r="B113">
        <v>0.44</v>
      </c>
      <c r="C113">
        <v>0.32</v>
      </c>
    </row>
    <row r="114" spans="1:3" x14ac:dyDescent="0.25">
      <c r="A114">
        <v>1991</v>
      </c>
      <c r="B114">
        <v>0.41</v>
      </c>
      <c r="C114">
        <v>0.34</v>
      </c>
    </row>
    <row r="115" spans="1:3" x14ac:dyDescent="0.25">
      <c r="A115">
        <v>1992</v>
      </c>
      <c r="B115">
        <v>0.21</v>
      </c>
      <c r="C115">
        <v>0.36</v>
      </c>
    </row>
    <row r="116" spans="1:3" x14ac:dyDescent="0.25">
      <c r="A116">
        <v>1993</v>
      </c>
      <c r="B116">
        <v>0.23</v>
      </c>
      <c r="C116">
        <v>0.38</v>
      </c>
    </row>
    <row r="117" spans="1:3" x14ac:dyDescent="0.25">
      <c r="A117">
        <v>1994</v>
      </c>
      <c r="B117">
        <v>0.31</v>
      </c>
      <c r="C117">
        <v>0.39</v>
      </c>
    </row>
    <row r="118" spans="1:3" x14ac:dyDescent="0.25">
      <c r="A118">
        <v>1995</v>
      </c>
      <c r="B118">
        <v>0.44</v>
      </c>
      <c r="C118">
        <v>0.41</v>
      </c>
    </row>
    <row r="119" spans="1:3" x14ac:dyDescent="0.25">
      <c r="A119">
        <v>1996</v>
      </c>
      <c r="B119">
        <v>0.33</v>
      </c>
      <c r="C119">
        <v>0.43</v>
      </c>
    </row>
    <row r="120" spans="1:3" x14ac:dyDescent="0.25">
      <c r="A120">
        <v>1997</v>
      </c>
      <c r="B120">
        <v>0.47</v>
      </c>
      <c r="C120">
        <v>0.44</v>
      </c>
    </row>
    <row r="121" spans="1:3" x14ac:dyDescent="0.25">
      <c r="A121">
        <v>1998</v>
      </c>
      <c r="B121">
        <v>0.62</v>
      </c>
      <c r="C121">
        <v>0.46</v>
      </c>
    </row>
    <row r="122" spans="1:3" x14ac:dyDescent="0.25">
      <c r="A122">
        <v>1999</v>
      </c>
      <c r="B122">
        <v>0.39</v>
      </c>
      <c r="C122">
        <v>0.48</v>
      </c>
    </row>
    <row r="123" spans="1:3" x14ac:dyDescent="0.25">
      <c r="A123">
        <v>2000</v>
      </c>
      <c r="B123">
        <v>0.4</v>
      </c>
      <c r="C123">
        <v>0.5</v>
      </c>
    </row>
    <row r="124" spans="1:3" x14ac:dyDescent="0.25">
      <c r="A124">
        <v>2001</v>
      </c>
      <c r="B124">
        <v>0.53</v>
      </c>
      <c r="C124">
        <v>0.51</v>
      </c>
    </row>
    <row r="125" spans="1:3" x14ac:dyDescent="0.25">
      <c r="A125">
        <v>2002</v>
      </c>
      <c r="B125">
        <v>0.62</v>
      </c>
      <c r="C125">
        <v>0.53</v>
      </c>
    </row>
    <row r="126" spans="1:3" x14ac:dyDescent="0.25">
      <c r="A126">
        <v>2003</v>
      </c>
      <c r="B126">
        <v>0.61</v>
      </c>
      <c r="C126">
        <v>0.55000000000000004</v>
      </c>
    </row>
    <row r="127" spans="1:3" x14ac:dyDescent="0.25">
      <c r="A127">
        <v>2004</v>
      </c>
      <c r="B127">
        <v>0.54</v>
      </c>
      <c r="C127">
        <v>0.56999999999999995</v>
      </c>
    </row>
    <row r="128" spans="1:3" x14ac:dyDescent="0.25">
      <c r="A128">
        <v>2005</v>
      </c>
      <c r="B128">
        <v>0.66</v>
      </c>
      <c r="C128">
        <v>0.57999999999999996</v>
      </c>
    </row>
    <row r="129" spans="1:3" x14ac:dyDescent="0.25">
      <c r="A129">
        <v>2006</v>
      </c>
      <c r="B129">
        <v>0.61</v>
      </c>
      <c r="C129">
        <v>0.6</v>
      </c>
    </row>
    <row r="130" spans="1:3" x14ac:dyDescent="0.25">
      <c r="A130">
        <v>2007</v>
      </c>
      <c r="B130">
        <v>0.63</v>
      </c>
      <c r="C130">
        <v>0.62</v>
      </c>
    </row>
    <row r="131" spans="1:3" x14ac:dyDescent="0.25">
      <c r="A131">
        <v>2008</v>
      </c>
      <c r="B131">
        <v>0.51</v>
      </c>
      <c r="C131">
        <v>0.64</v>
      </c>
    </row>
    <row r="132" spans="1:3" x14ac:dyDescent="0.25">
      <c r="A132">
        <v>2009</v>
      </c>
      <c r="B132">
        <v>0.63</v>
      </c>
      <c r="C132">
        <v>0.65</v>
      </c>
    </row>
    <row r="133" spans="1:3" x14ac:dyDescent="0.25">
      <c r="A133">
        <v>2010</v>
      </c>
      <c r="B133">
        <v>0.69</v>
      </c>
      <c r="C133">
        <v>0.67</v>
      </c>
    </row>
    <row r="134" spans="1:3" x14ac:dyDescent="0.25">
      <c r="A134">
        <v>2011</v>
      </c>
      <c r="B134">
        <v>0.56000000000000005</v>
      </c>
      <c r="C134">
        <v>0.69</v>
      </c>
    </row>
    <row r="135" spans="1:3" x14ac:dyDescent="0.25">
      <c r="A135">
        <v>2012</v>
      </c>
      <c r="B135">
        <v>0.61</v>
      </c>
      <c r="C135">
        <v>0.71</v>
      </c>
    </row>
    <row r="136" spans="1:3" x14ac:dyDescent="0.25">
      <c r="A136">
        <v>2013</v>
      </c>
      <c r="B136">
        <v>0.64</v>
      </c>
      <c r="C136">
        <v>0.72</v>
      </c>
    </row>
    <row r="137" spans="1:3" x14ac:dyDescent="0.25">
      <c r="A137">
        <v>2014</v>
      </c>
      <c r="B137">
        <v>0.73</v>
      </c>
      <c r="C137">
        <v>0.74</v>
      </c>
    </row>
    <row r="138" spans="1:3" x14ac:dyDescent="0.25">
      <c r="A138">
        <v>2015</v>
      </c>
      <c r="B138">
        <v>0.86</v>
      </c>
      <c r="C138">
        <v>0.76</v>
      </c>
    </row>
    <row r="139" spans="1:3" x14ac:dyDescent="0.25">
      <c r="A139">
        <v>2016</v>
      </c>
      <c r="B139">
        <v>0.98</v>
      </c>
      <c r="C139">
        <v>0.78</v>
      </c>
    </row>
    <row r="140" spans="1:3" x14ac:dyDescent="0.25">
      <c r="A140">
        <v>2017</v>
      </c>
      <c r="B140">
        <v>0.89</v>
      </c>
      <c r="C140">
        <v>0.79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</vt:vector>
  </HeadingPairs>
  <TitlesOfParts>
    <vt:vector size="16" baseType="lpstr">
      <vt:lpstr>Data -- PA Temp</vt:lpstr>
      <vt:lpstr>Data -- NJ Temp</vt:lpstr>
      <vt:lpstr>Data -- NJ-PA Average Temp</vt:lpstr>
      <vt:lpstr>Data - PA and NJ Combo Precip.</vt:lpstr>
      <vt:lpstr>Data - Perc in Intense Storms</vt:lpstr>
      <vt:lpstr>Global Temp</vt:lpstr>
      <vt:lpstr>GlobalAnnualTemperatureAnomalie</vt:lpstr>
      <vt:lpstr>graph</vt:lpstr>
      <vt:lpstr>Chart -- PA Temp</vt:lpstr>
      <vt:lpstr>Chart -- NJ Temp</vt:lpstr>
      <vt:lpstr>Chart -- PA and NJ Temp</vt:lpstr>
      <vt:lpstr>Chart -- PA and NJ Combo Temp</vt:lpstr>
      <vt:lpstr>Chart -- PA and NJ Combo Precip</vt:lpstr>
      <vt:lpstr>Chart -- Intense Storms</vt:lpstr>
      <vt:lpstr>Chart -- global temp</vt:lpstr>
      <vt:lpstr>Chart -- global temp (2)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Graff, Robert</dc:creator>
  <cp:lastModifiedBy>Gruswitz, Benjamin</cp:lastModifiedBy>
  <cp:lastPrinted>2018-06-07T18:21:14Z</cp:lastPrinted>
  <dcterms:created xsi:type="dcterms:W3CDTF">2018-06-06T17:56:47Z</dcterms:created>
  <dcterms:modified xsi:type="dcterms:W3CDTF">2018-08-28T19:55:54Z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697ac3c8-bcc9-4405-bcee-6f0b0210ec1b</vt:lpwstr>
  </property>
</Properties>
</file>